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Vishvam Bookings" sheetId="1" r:id="rId1"/>
    <sheet name="OTHER BOOKING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176" i="1"/>
  <c r="A6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5"/>
  <c r="F123"/>
  <c r="F108"/>
  <c r="F98"/>
  <c r="F95"/>
  <c r="O85"/>
  <c r="F85"/>
  <c r="F81"/>
  <c r="F39"/>
  <c r="O29"/>
  <c r="F6"/>
</calcChain>
</file>

<file path=xl/sharedStrings.xml><?xml version="1.0" encoding="utf-8"?>
<sst xmlns="http://schemas.openxmlformats.org/spreadsheetml/2006/main" count="983" uniqueCount="424">
  <si>
    <t>VISHVAM PLOT DETAILS (Total Flats : 628)</t>
  </si>
  <si>
    <t>SNO</t>
  </si>
  <si>
    <t>DATE OF BOOKING</t>
  </si>
  <si>
    <t>PLOT NO.</t>
  </si>
  <si>
    <t>EXTENT</t>
  </si>
  <si>
    <t>ADVANCE AMOUNT</t>
  </si>
  <si>
    <t>Custmer Name</t>
  </si>
  <si>
    <t>cash</t>
  </si>
  <si>
    <t>Bank transfer</t>
  </si>
  <si>
    <t>Receipt no</t>
  </si>
  <si>
    <t>Agrement Date (15days)</t>
  </si>
  <si>
    <t>Note</t>
  </si>
  <si>
    <t>Prema Jyothirmayi</t>
  </si>
  <si>
    <t>Receipt No.005</t>
  </si>
  <si>
    <t>05.11.2025</t>
  </si>
  <si>
    <t>Receipt No.036</t>
  </si>
  <si>
    <t>UPI NO:042605447927</t>
  </si>
  <si>
    <t>Receipt No.037</t>
  </si>
  <si>
    <t>07.11.2025</t>
  </si>
  <si>
    <t>UPI NO:067396125275</t>
  </si>
  <si>
    <t>Receipt No.043</t>
  </si>
  <si>
    <t>Dr.Bangariahgari Chakrapani</t>
  </si>
  <si>
    <t>RTGS UTR No:DCBL202510165000165418</t>
  </si>
  <si>
    <t>Receipt No.006</t>
  </si>
  <si>
    <t>cash Rs.488000-/ and phone Pay Rs.12000</t>
  </si>
  <si>
    <t>Sbi chno.077468 Rs.500000 Dated:02.11.2025 (Cheque Bounce)</t>
  </si>
  <si>
    <t>Receipt No.026 &amp;027,&amp;028</t>
  </si>
  <si>
    <t>06.11.2025</t>
  </si>
  <si>
    <t>BKIDR52025110600673405</t>
  </si>
  <si>
    <t>Receipt No.040</t>
  </si>
  <si>
    <t>09.11.2025</t>
  </si>
  <si>
    <t>Cash-</t>
  </si>
  <si>
    <t>Receipt No:053,054,055,056,057&amp;058</t>
  </si>
  <si>
    <t>310</t>
  </si>
  <si>
    <t>V.Ramana Murthy</t>
  </si>
  <si>
    <t>Receipt No.007</t>
  </si>
  <si>
    <t>616</t>
  </si>
  <si>
    <t>Kate Palli Naresh</t>
  </si>
  <si>
    <t>UPI No:661135209981</t>
  </si>
  <si>
    <t>Receipt NO.008</t>
  </si>
  <si>
    <t>UPI No:162898166563</t>
  </si>
  <si>
    <t>Receipt NO.011</t>
  </si>
  <si>
    <t>27.10.2025</t>
  </si>
  <si>
    <t>-</t>
  </si>
  <si>
    <t>UBINR22025102701329803</t>
  </si>
  <si>
    <t>Receipt NO.017</t>
  </si>
  <si>
    <t>04.11.2025</t>
  </si>
  <si>
    <t>CASH</t>
  </si>
  <si>
    <t>Receipt NO.034</t>
  </si>
  <si>
    <t>UTR No:UBINR220251104041009840</t>
  </si>
  <si>
    <t>Receipt NO.035</t>
  </si>
  <si>
    <t>Receipt No.041</t>
  </si>
  <si>
    <t>15.11.2025</t>
  </si>
  <si>
    <t>Receipt No.087&amp;088</t>
  </si>
  <si>
    <t>620</t>
  </si>
  <si>
    <t>Kattula Venkata Reddy</t>
  </si>
  <si>
    <t>transfer UPI ID:T2510182037231311109659</t>
  </si>
  <si>
    <t>Receipt No.009</t>
  </si>
  <si>
    <t>SBI Cheque:976097</t>
  </si>
  <si>
    <t>Receipt No.044</t>
  </si>
  <si>
    <t>Cash</t>
  </si>
  <si>
    <t>Receipt No.045</t>
  </si>
  <si>
    <t>Receipt No.046</t>
  </si>
  <si>
    <t>Receipt No.047</t>
  </si>
  <si>
    <t>490</t>
  </si>
  <si>
    <t>Samatha Manoj Varma</t>
  </si>
  <si>
    <t>Receipt No.010</t>
  </si>
  <si>
    <t>Receipt No.038</t>
  </si>
  <si>
    <t>Hdfc Chq no:000003</t>
  </si>
  <si>
    <t>Receipt No.082</t>
  </si>
  <si>
    <t>Receipt No.084</t>
  </si>
  <si>
    <t>25.10.2025</t>
  </si>
  <si>
    <t>Syed Jubeda (Syed Dawood )</t>
  </si>
  <si>
    <t>cash recd</t>
  </si>
  <si>
    <t>Receipt No.012</t>
  </si>
  <si>
    <t>10.11.2025</t>
  </si>
  <si>
    <t xml:space="preserve">cash </t>
  </si>
  <si>
    <t>Receipt No.061,62,63,64</t>
  </si>
  <si>
    <t>Phone pe UPI No:113936805723</t>
  </si>
  <si>
    <t>Receipt No.064</t>
  </si>
  <si>
    <t>Canara cheque no:482508</t>
  </si>
  <si>
    <t>Receipt No.065</t>
  </si>
  <si>
    <t>Kolipakula.Venkata Mani Kumar</t>
  </si>
  <si>
    <t>UPI No:529811115806</t>
  </si>
  <si>
    <t>Receipt no.013</t>
  </si>
  <si>
    <t>INFT/EK54033489</t>
  </si>
  <si>
    <t>Receipt no.039</t>
  </si>
  <si>
    <t>INFT/EK54037189</t>
  </si>
  <si>
    <t>Ref Id:EKB4716819</t>
  </si>
  <si>
    <t>Receipt no.042</t>
  </si>
  <si>
    <t>Tr ID:ICICR12025112607703172</t>
  </si>
  <si>
    <t>Receipt no.112</t>
  </si>
  <si>
    <t xml:space="preserve">Guntaka Kotireddy </t>
  </si>
  <si>
    <t>Tr ID:ICICR12025112707721957</t>
  </si>
  <si>
    <t>Receipt no.164</t>
  </si>
  <si>
    <t>26.10.2025</t>
  </si>
  <si>
    <t>507 &amp; 508</t>
  </si>
  <si>
    <t>1175.95 syd</t>
  </si>
  <si>
    <t>Mora srinvas Reddy</t>
  </si>
  <si>
    <t>UPI No:421200229920</t>
  </si>
  <si>
    <t>Receipt No.014</t>
  </si>
  <si>
    <t>Receipt No.097,98,99</t>
  </si>
  <si>
    <t>Cheque No:000010</t>
  </si>
  <si>
    <t>Receipt No.099</t>
  </si>
  <si>
    <t>Receipt No.102</t>
  </si>
  <si>
    <t>Receipt No.103</t>
  </si>
  <si>
    <t>Receipt No.156</t>
  </si>
  <si>
    <t>Receipt No.157</t>
  </si>
  <si>
    <t>Receipt No.186</t>
  </si>
  <si>
    <t>Receipt No.187</t>
  </si>
  <si>
    <t>366.73 syd</t>
  </si>
  <si>
    <t>Gudela Venu Gopal Rao</t>
  </si>
  <si>
    <t>UPI No:337669393454</t>
  </si>
  <si>
    <t>Receipt NO.015</t>
  </si>
  <si>
    <t>SBIN525331023958</t>
  </si>
  <si>
    <t>Receipt NO.110</t>
  </si>
  <si>
    <t>Sreenidhi Venture</t>
  </si>
  <si>
    <t>SBIN525331033217</t>
  </si>
  <si>
    <t>Receipt NO.111</t>
  </si>
  <si>
    <t>Guntaka Kotireddy</t>
  </si>
  <si>
    <t>Receipt NO.116</t>
  </si>
  <si>
    <t>SBINR52025112707243163</t>
  </si>
  <si>
    <t>Receipt NO.117</t>
  </si>
  <si>
    <t>Sreenidhi Group</t>
  </si>
  <si>
    <t>SBINR52025112707271211</t>
  </si>
  <si>
    <t>Receipt NO.118</t>
  </si>
  <si>
    <t>Jr:196638466</t>
  </si>
  <si>
    <t>Receipt NO.119</t>
  </si>
  <si>
    <t>SBINR52025112707254808</t>
  </si>
  <si>
    <t>Receipt NO.120</t>
  </si>
  <si>
    <t>Guntaka Kotireddy (UBI)</t>
  </si>
  <si>
    <t>183.36 syd</t>
  </si>
  <si>
    <t>P.Srinivasa Akhil</t>
  </si>
  <si>
    <t>UTR NO:334869124805</t>
  </si>
  <si>
    <t>Receipt no.016</t>
  </si>
  <si>
    <t>UTR NO:923870114087</t>
  </si>
  <si>
    <t>08.11.2025</t>
  </si>
  <si>
    <t>Ref No:531217395689</t>
  </si>
  <si>
    <t>Receipt no.049</t>
  </si>
  <si>
    <t>Amount Transfer to Vizag steel</t>
  </si>
  <si>
    <t>Ref No:MB09184334540T39192970</t>
  </si>
  <si>
    <t>Ref No:MB10054419487T41477081</t>
  </si>
  <si>
    <t>HDFC Bank Cheque No:000001 (RTGS)</t>
  </si>
  <si>
    <t>261.19 syd</t>
  </si>
  <si>
    <t>Chikurumalli Ramu</t>
  </si>
  <si>
    <t>Rs:90000/- Hdfc:364184680280</t>
  </si>
  <si>
    <t>Receipt No.019&amp;020</t>
  </si>
  <si>
    <t>Receipt no.018</t>
  </si>
  <si>
    <t>Receipt no.080,81,83</t>
  </si>
  <si>
    <t>305.66 syd</t>
  </si>
  <si>
    <t>Abdul Rameez</t>
  </si>
  <si>
    <t>UPI No:990769000838 &amp; 303290412115</t>
  </si>
  <si>
    <t>Receipt No.021</t>
  </si>
  <si>
    <t>Receipt No.077,78,79</t>
  </si>
  <si>
    <t>350.14 syd</t>
  </si>
  <si>
    <t>Karri Venkateswara Rao</t>
  </si>
  <si>
    <t>NEFT no:SBIN52025102790271142</t>
  </si>
  <si>
    <t>Receipt No.022</t>
  </si>
  <si>
    <t>30.10.2025</t>
  </si>
  <si>
    <t>133.00 syd</t>
  </si>
  <si>
    <t>K.Renuka chari</t>
  </si>
  <si>
    <t>UPI/192191887658</t>
  </si>
  <si>
    <t>Receipt No.023</t>
  </si>
  <si>
    <t>BIL/INFT/EJY1312617</t>
  </si>
  <si>
    <t>Tr ID:EKE5463389</t>
  </si>
  <si>
    <t>Receipt No.071</t>
  </si>
  <si>
    <t>Tr ID:ICICR12025111207498196</t>
  </si>
  <si>
    <t>Govinda Reddy Anup</t>
  </si>
  <si>
    <t>Tr ID:531619889952</t>
  </si>
  <si>
    <t>Sukumar toll gates</t>
  </si>
  <si>
    <t>01.11.2025</t>
  </si>
  <si>
    <t>Madhu</t>
  </si>
  <si>
    <t>G.Brahmaiah</t>
  </si>
  <si>
    <t>Receipt NO.024</t>
  </si>
  <si>
    <t>02.11.2025</t>
  </si>
  <si>
    <t>Receipt NO.025</t>
  </si>
  <si>
    <t>Receipt NO.050</t>
  </si>
  <si>
    <t>Receipt NO.051</t>
  </si>
  <si>
    <t>Canara bank Cheque no:583056</t>
  </si>
  <si>
    <t>Receipt NO.052</t>
  </si>
  <si>
    <t>M.Sri Lakshmi</t>
  </si>
  <si>
    <t>M.Bala Krishna</t>
  </si>
  <si>
    <t>M.Parnika</t>
  </si>
  <si>
    <t>M.Navya</t>
  </si>
  <si>
    <t>K.Jayanth</t>
  </si>
  <si>
    <t>D Ravindra</t>
  </si>
  <si>
    <t>Kalyan Chakravarthi</t>
  </si>
  <si>
    <t>Mohammad Karimulla</t>
  </si>
  <si>
    <t>K Bharathi</t>
  </si>
  <si>
    <t>V.Ratna Prasanna kumar</t>
  </si>
  <si>
    <t>trannsfered</t>
  </si>
  <si>
    <t>Repecipt No.029</t>
  </si>
  <si>
    <t>K.Praveen</t>
  </si>
  <si>
    <t>Recepit No.030</t>
  </si>
  <si>
    <t>K.Ravi Kiran</t>
  </si>
  <si>
    <t>Receipit No.031</t>
  </si>
  <si>
    <t>03.11.2025</t>
  </si>
  <si>
    <t>shaik Reshma</t>
  </si>
  <si>
    <t>Receipt No.032</t>
  </si>
  <si>
    <t>Receipt No.105</t>
  </si>
  <si>
    <t>UTR No:038305299020</t>
  </si>
  <si>
    <t>Receipt No.106</t>
  </si>
  <si>
    <t>Ref No:HDFCR52025112587525907</t>
  </si>
  <si>
    <t>Receipt No.108</t>
  </si>
  <si>
    <t>Ref No:HDFCR00630526766</t>
  </si>
  <si>
    <t>Receipt No.107</t>
  </si>
  <si>
    <t>183.36 sytd</t>
  </si>
  <si>
    <t>UTR No:531495885796</t>
  </si>
  <si>
    <t>Ref No:HDFCR006259435053</t>
  </si>
  <si>
    <t>Receipt No.100</t>
  </si>
  <si>
    <t>Ref No:HDFCR52025112487133722</t>
  </si>
  <si>
    <t>Receipt No.101</t>
  </si>
  <si>
    <t>Receipt No.109</t>
  </si>
  <si>
    <t>Receipt No.114</t>
  </si>
  <si>
    <t>UTR No:723415178777</t>
  </si>
  <si>
    <t>Receipt No.115</t>
  </si>
  <si>
    <t>AkkiRaju Lakshmi Naga Narasimha Rao</t>
  </si>
  <si>
    <t>trnasfer</t>
  </si>
  <si>
    <t>Receipt No.033</t>
  </si>
  <si>
    <t>P.SARADA</t>
  </si>
  <si>
    <t>HDFC, Cheque no: 000004 , Rs:10,00,000/- Dt:06-11-2025</t>
  </si>
  <si>
    <t>Receipt No.122</t>
  </si>
  <si>
    <t>Receipt No.123</t>
  </si>
  <si>
    <t>Receipt No.124</t>
  </si>
  <si>
    <t>P.UDAY RAJ</t>
  </si>
  <si>
    <t>HDFC, Cheque no: 000031 , Rs:10,00,000/- Dt:06-11-2025</t>
  </si>
  <si>
    <t>Receipt No.125</t>
  </si>
  <si>
    <t>Receipt No.126</t>
  </si>
  <si>
    <t>Receipt No.127</t>
  </si>
  <si>
    <t>Receipt No.128</t>
  </si>
  <si>
    <t>P.CHANDRASEKHAR</t>
  </si>
  <si>
    <t>UPI No:257768449572</t>
  </si>
  <si>
    <t>Receipt No.129</t>
  </si>
  <si>
    <t>Receipt No.130</t>
  </si>
  <si>
    <t>Receipt No.131</t>
  </si>
  <si>
    <t>ICICI, Cheque no: 574451 , Rs:10,00,000/- Dt:06-11-2025 &amp;UTR No:HDFCR5202511128251208</t>
  </si>
  <si>
    <t>Receipt No.132</t>
  </si>
  <si>
    <t>VTIBR52025120300358963</t>
  </si>
  <si>
    <t>Receipt No.168</t>
  </si>
  <si>
    <t>UTIBR52025120300359147</t>
  </si>
  <si>
    <t>Receipt No.169</t>
  </si>
  <si>
    <t>UTR No:453640825030</t>
  </si>
  <si>
    <t>Receipt No.133</t>
  </si>
  <si>
    <t>13.11.2025</t>
  </si>
  <si>
    <t>UTR No:069938194251</t>
  </si>
  <si>
    <t>Receipt No.134</t>
  </si>
  <si>
    <t>UTR No:353134918425</t>
  </si>
  <si>
    <t>Receipt No.135</t>
  </si>
  <si>
    <t>16.11.2025</t>
  </si>
  <si>
    <t>UTR No:400115489930</t>
  </si>
  <si>
    <t>Receipt No.136</t>
  </si>
  <si>
    <t>17.11.2025</t>
  </si>
  <si>
    <t>UTR No:234288453568</t>
  </si>
  <si>
    <t>Receipt No.137</t>
  </si>
  <si>
    <t>19.11.2025</t>
  </si>
  <si>
    <t>UTR NO:409313705747</t>
  </si>
  <si>
    <t>Receipt No.138</t>
  </si>
  <si>
    <t>14.11.2025</t>
  </si>
  <si>
    <t>Mohammad Ruksana (Imran)</t>
  </si>
  <si>
    <t>UTR NO:607890131799</t>
  </si>
  <si>
    <t>Receipt No.177</t>
  </si>
  <si>
    <t>Trancston id:2511140933381957050965</t>
  </si>
  <si>
    <t>UTR No:SBINR52025120408131993</t>
  </si>
  <si>
    <t>Receipt No.178</t>
  </si>
  <si>
    <t>194.48 syd</t>
  </si>
  <si>
    <t>Shaik Fareed</t>
  </si>
  <si>
    <t>Confirm date :11-11-2025</t>
  </si>
  <si>
    <t>Receipt No:059</t>
  </si>
  <si>
    <t>Ref No:533118925250</t>
  </si>
  <si>
    <t>Receipt No:139</t>
  </si>
  <si>
    <t>UTR No:009450463507</t>
  </si>
  <si>
    <t>Receipt No:140</t>
  </si>
  <si>
    <t>Ref No:533222916873</t>
  </si>
  <si>
    <t>Receipt No:141</t>
  </si>
  <si>
    <t>UTR No:056711543284</t>
  </si>
  <si>
    <t>Receipt No:182</t>
  </si>
  <si>
    <t>Ref no:533917929285</t>
  </si>
  <si>
    <t>Receipt No:185</t>
  </si>
  <si>
    <t>y janardhan Costal (3rd Party)</t>
  </si>
  <si>
    <t>Kokku Narendra Datt</t>
  </si>
  <si>
    <t>Transfer</t>
  </si>
  <si>
    <t>Receipt No:048</t>
  </si>
  <si>
    <t>Tr ID:533612845453</t>
  </si>
  <si>
    <t>Receipt No:165</t>
  </si>
  <si>
    <t>Receipt No:176</t>
  </si>
  <si>
    <t>08.12.2025</t>
  </si>
  <si>
    <t>Receipt No:190</t>
  </si>
  <si>
    <t>SHAIK ILIZA ,JONNADA RAMANA</t>
  </si>
  <si>
    <t>Receipt No:066</t>
  </si>
  <si>
    <t>trs UTR No:720262793836</t>
  </si>
  <si>
    <t>Receipt No:070</t>
  </si>
  <si>
    <t>UTR :SBIN325337201064</t>
  </si>
  <si>
    <t>Receipt No:167</t>
  </si>
  <si>
    <t>UTR NO:099865486096</t>
  </si>
  <si>
    <t>Receipt No:183</t>
  </si>
  <si>
    <t>149.79 Syd</t>
  </si>
  <si>
    <t>VELAGAPALLI RATNA KUMARI</t>
  </si>
  <si>
    <t>UPI NO:568063274297</t>
  </si>
  <si>
    <t>Receipt No:067</t>
  </si>
  <si>
    <t>SBIN325337177823</t>
  </si>
  <si>
    <t>Receipt No:166</t>
  </si>
  <si>
    <t>Receipt No:170</t>
  </si>
  <si>
    <t>350.14 Syd</t>
  </si>
  <si>
    <t>Transfer No:T2511101726570290982009</t>
  </si>
  <si>
    <t>Receipt No:068</t>
  </si>
  <si>
    <t>BKIDN25315439518</t>
  </si>
  <si>
    <t>Receipt No:069</t>
  </si>
  <si>
    <t>BKIDA253177809752 (Chq no:085866)</t>
  </si>
  <si>
    <t>Receipt No:076</t>
  </si>
  <si>
    <t>Receipt No:091</t>
  </si>
  <si>
    <t>Receipt No:092</t>
  </si>
  <si>
    <t>Receipt No:093</t>
  </si>
  <si>
    <t>Vamsi Krishna Venkata Maruthi Prakhya (USA)</t>
  </si>
  <si>
    <t>Ref no:ICICR12025111007458194</t>
  </si>
  <si>
    <t>Receipt No:142</t>
  </si>
  <si>
    <t>Janardhan</t>
  </si>
  <si>
    <t>Ref no:ICICR12025111007458453</t>
  </si>
  <si>
    <t>Receipt No:143</t>
  </si>
  <si>
    <t>M Siva</t>
  </si>
  <si>
    <t>Ref no:ICICR12025111007457791</t>
  </si>
  <si>
    <t>Receipt No:144</t>
  </si>
  <si>
    <t>Srinidhi Con-7251</t>
  </si>
  <si>
    <t>Ref no:ICICR12025111007461005</t>
  </si>
  <si>
    <t>Receipt No:145</t>
  </si>
  <si>
    <t>M Teja-2400</t>
  </si>
  <si>
    <t>Receipt No:146</t>
  </si>
  <si>
    <t>Receipt No:158</t>
  </si>
  <si>
    <t>Receipt No:159</t>
  </si>
  <si>
    <t>Ref no:ICICR12025111107471882</t>
  </si>
  <si>
    <t>Receipt No:147</t>
  </si>
  <si>
    <t>Jyothi</t>
  </si>
  <si>
    <t>Ref No:EKF5660455</t>
  </si>
  <si>
    <t>Receipt No:160</t>
  </si>
  <si>
    <t>Srinidhi -8577</t>
  </si>
  <si>
    <t>Ref no:ICICR12025111107472986</t>
  </si>
  <si>
    <t>Receipt No:161</t>
  </si>
  <si>
    <t>Kalyan chakra</t>
  </si>
  <si>
    <t>Receipt No:162</t>
  </si>
  <si>
    <t>Receipt No:163</t>
  </si>
  <si>
    <t>Chandu (Peedi Praveen)</t>
  </si>
  <si>
    <t>194.36 syd</t>
  </si>
  <si>
    <t>Receipt No:172</t>
  </si>
  <si>
    <t xml:space="preserve">203 Syd </t>
  </si>
  <si>
    <t>Receipt No:171</t>
  </si>
  <si>
    <t>Tr ID:ICICR12025111707563582</t>
  </si>
  <si>
    <t>Receipt No:173</t>
  </si>
  <si>
    <t>From GMR Poultries received(Mahesh Reddy)</t>
  </si>
  <si>
    <t>Tr ID:ICICR12025111707563711</t>
  </si>
  <si>
    <t>Receipt No:174</t>
  </si>
  <si>
    <t>From GMR Agro received(Mahesh ReddY)</t>
  </si>
  <si>
    <t>Receipt No:175</t>
  </si>
  <si>
    <t>Vamsi rajani payment @ USA by our side</t>
  </si>
  <si>
    <t>Ref No:EKT8770678</t>
  </si>
  <si>
    <t>Receipt No:180</t>
  </si>
  <si>
    <t>Srinidhi-8577</t>
  </si>
  <si>
    <t>Receipt No:179</t>
  </si>
  <si>
    <t>1500 has to be cut from agent commission and 500 company gave discount</t>
  </si>
  <si>
    <t>574.37 syd</t>
  </si>
  <si>
    <t>Dinesh Sourya</t>
  </si>
  <si>
    <t>Receipt No:089</t>
  </si>
  <si>
    <t>Receipt No:148</t>
  </si>
  <si>
    <t>Receipt No:149</t>
  </si>
  <si>
    <t>Receipt No:150</t>
  </si>
  <si>
    <t>Receipt No:151</t>
  </si>
  <si>
    <t>Receipt No:152</t>
  </si>
  <si>
    <t>Receipt No:153</t>
  </si>
  <si>
    <t>Receipt No:154</t>
  </si>
  <si>
    <t>Receipt No:155</t>
  </si>
  <si>
    <t>Dinesh Sourya (Kathi Harini)</t>
  </si>
  <si>
    <t>SBINR52025120207883031</t>
  </si>
  <si>
    <t xml:space="preserve">Naredla Venkata Rami Reddy </t>
  </si>
  <si>
    <t>Tr Id:17630027358986</t>
  </si>
  <si>
    <t>Receipt No:090</t>
  </si>
  <si>
    <t>Tr Id:2511130848427687845494</t>
  </si>
  <si>
    <t>Gudi Sathish Kumar</t>
  </si>
  <si>
    <t>UTR NO:SBINR52025111505915028</t>
  </si>
  <si>
    <t>Receipt No:181</t>
  </si>
  <si>
    <t>Shaik Amanulla</t>
  </si>
  <si>
    <t>Receipt No:113</t>
  </si>
  <si>
    <t>28.11.2025</t>
  </si>
  <si>
    <t>Receipt No:121</t>
  </si>
  <si>
    <t>Total</t>
  </si>
  <si>
    <t>Customer Price</t>
  </si>
  <si>
    <t>Phone pay</t>
  </si>
  <si>
    <t>Customer  Aadhar Number</t>
  </si>
  <si>
    <t>Customer  PAN Number</t>
  </si>
  <si>
    <t>788415669217</t>
  </si>
  <si>
    <t>ARTPB6533F</t>
  </si>
  <si>
    <t>INFT/EJM8961209</t>
  </si>
  <si>
    <t>210382060834</t>
  </si>
  <si>
    <t>525054108488</t>
  </si>
  <si>
    <t>AHFPK1603H</t>
  </si>
  <si>
    <t>760313244921</t>
  </si>
  <si>
    <t>CBSPV5126K</t>
  </si>
  <si>
    <t>277665861268</t>
  </si>
  <si>
    <t>FXFPS6688H</t>
  </si>
  <si>
    <t>343516487078</t>
  </si>
  <si>
    <t>AFMPM6460M</t>
  </si>
  <si>
    <t>359339302700</t>
  </si>
  <si>
    <t>AKWPG7212J</t>
  </si>
  <si>
    <t>406900610083</t>
  </si>
  <si>
    <t>DYKPP1536B</t>
  </si>
  <si>
    <t>835439697870</t>
  </si>
  <si>
    <t>BDPPC8229L</t>
  </si>
  <si>
    <t>315518744977</t>
  </si>
  <si>
    <t>BFTPA52828P</t>
  </si>
  <si>
    <t>229671913161</t>
  </si>
  <si>
    <t>AWRPK2001Q</t>
  </si>
  <si>
    <t>241012796391</t>
  </si>
  <si>
    <t>BQGPG5849E</t>
  </si>
  <si>
    <t>UPI 214009352137</t>
  </si>
  <si>
    <t>UPI 258583753924</t>
  </si>
  <si>
    <t>827506300286</t>
  </si>
  <si>
    <t>GSJPS7831G</t>
  </si>
  <si>
    <t>751343930636</t>
  </si>
  <si>
    <t>309460298798 , '764145589583</t>
  </si>
  <si>
    <t>HIJPS1447D , BCLPJ7464B</t>
  </si>
  <si>
    <t>916915328984</t>
  </si>
  <si>
    <t>APVPV1048M</t>
  </si>
  <si>
    <t>Customer PASS PORT NO</t>
  </si>
  <si>
    <t>C3905349</t>
  </si>
  <si>
    <t>396620606039</t>
  </si>
  <si>
    <t>AVMPK0705F</t>
  </si>
  <si>
    <t>913801870083</t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</si>
</sst>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3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3" xfId="0" applyBorder="1"/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14" fontId="4" fillId="0" borderId="10" xfId="0" applyNumberFormat="1" applyFont="1" applyFill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164" fontId="4" fillId="0" borderId="10" xfId="1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64" fontId="6" fillId="0" borderId="10" xfId="1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wrapText="1"/>
    </xf>
    <xf numFmtId="14" fontId="0" fillId="0" borderId="12" xfId="0" applyNumberFormat="1" applyBorder="1"/>
    <xf numFmtId="0" fontId="0" fillId="0" borderId="13" xfId="0" applyBorder="1"/>
    <xf numFmtId="0" fontId="4" fillId="0" borderId="14" xfId="0" applyFont="1" applyBorder="1" applyAlignment="1">
      <alignment horizontal="center"/>
    </xf>
    <xf numFmtId="14" fontId="4" fillId="0" borderId="15" xfId="0" applyNumberFormat="1" applyFont="1" applyFill="1" applyBorder="1" applyAlignment="1">
      <alignment horizontal="center"/>
    </xf>
    <xf numFmtId="164" fontId="8" fillId="0" borderId="16" xfId="1" applyNumberFormat="1" applyFont="1" applyBorder="1" applyAlignment="1">
      <alignment vertical="center"/>
    </xf>
    <xf numFmtId="0" fontId="4" fillId="0" borderId="15" xfId="0" applyFont="1" applyBorder="1" applyAlignment="1">
      <alignment horizontal="center" wrapText="1"/>
    </xf>
    <xf numFmtId="0" fontId="4" fillId="0" borderId="15" xfId="0" applyFont="1" applyBorder="1" applyAlignment="1">
      <alignment horizontal="center"/>
    </xf>
    <xf numFmtId="164" fontId="6" fillId="0" borderId="15" xfId="1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left" wrapText="1"/>
    </xf>
    <xf numFmtId="0" fontId="0" fillId="0" borderId="18" xfId="0" applyBorder="1"/>
    <xf numFmtId="0" fontId="4" fillId="4" borderId="15" xfId="0" quotePrefix="1" applyFont="1" applyFill="1" applyBorder="1" applyAlignment="1">
      <alignment horizontal="center"/>
    </xf>
    <xf numFmtId="2" fontId="4" fillId="0" borderId="15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 vertical="center" wrapText="1"/>
    </xf>
    <xf numFmtId="2" fontId="4" fillId="0" borderId="15" xfId="0" applyNumberFormat="1" applyFont="1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14" fontId="0" fillId="0" borderId="18" xfId="0" applyNumberFormat="1" applyBorder="1"/>
    <xf numFmtId="14" fontId="4" fillId="0" borderId="15" xfId="0" applyNumberFormat="1" applyFont="1" applyFill="1" applyBorder="1" applyAlignment="1">
      <alignment horizontal="center" vertical="center"/>
    </xf>
    <xf numFmtId="2" fontId="0" fillId="0" borderId="13" xfId="0" applyNumberFormat="1" applyBorder="1"/>
    <xf numFmtId="0" fontId="4" fillId="0" borderId="15" xfId="0" quotePrefix="1" applyFont="1" applyBorder="1" applyAlignment="1">
      <alignment horizontal="center"/>
    </xf>
    <xf numFmtId="0" fontId="4" fillId="0" borderId="15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left" wrapText="1"/>
    </xf>
    <xf numFmtId="0" fontId="4" fillId="4" borderId="15" xfId="0" applyFont="1" applyFill="1" applyBorder="1" applyAlignment="1">
      <alignment horizontal="center"/>
    </xf>
    <xf numFmtId="0" fontId="9" fillId="0" borderId="15" xfId="0" applyFont="1" applyBorder="1"/>
    <xf numFmtId="0" fontId="2" fillId="0" borderId="13" xfId="0" applyFont="1" applyBorder="1"/>
    <xf numFmtId="0" fontId="4" fillId="0" borderId="15" xfId="0" applyFont="1" applyBorder="1"/>
    <xf numFmtId="0" fontId="10" fillId="0" borderId="17" xfId="0" applyFont="1" applyFill="1" applyBorder="1" applyAlignment="1">
      <alignment horizontal="left" wrapText="1"/>
    </xf>
    <xf numFmtId="164" fontId="11" fillId="0" borderId="15" xfId="1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wrapText="1"/>
    </xf>
    <xf numFmtId="0" fontId="12" fillId="0" borderId="13" xfId="0" applyFont="1" applyBorder="1" applyAlignment="1">
      <alignment wrapText="1"/>
    </xf>
    <xf numFmtId="0" fontId="14" fillId="0" borderId="15" xfId="0" applyFont="1" applyBorder="1" applyAlignment="1">
      <alignment horizontal="center" vertical="center" wrapText="1"/>
    </xf>
    <xf numFmtId="43" fontId="4" fillId="0" borderId="15" xfId="1" applyFont="1" applyBorder="1" applyAlignment="1">
      <alignment horizontal="center" wrapText="1"/>
    </xf>
    <xf numFmtId="0" fontId="5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wrapText="1"/>
    </xf>
    <xf numFmtId="14" fontId="0" fillId="0" borderId="15" xfId="0" applyNumberFormat="1" applyBorder="1"/>
    <xf numFmtId="0" fontId="0" fillId="0" borderId="15" xfId="0" applyBorder="1"/>
    <xf numFmtId="164" fontId="0" fillId="0" borderId="15" xfId="1" applyNumberFormat="1" applyFont="1" applyBorder="1"/>
    <xf numFmtId="0" fontId="4" fillId="0" borderId="15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/>
    </xf>
    <xf numFmtId="0" fontId="9" fillId="0" borderId="14" xfId="0" applyFont="1" applyBorder="1"/>
    <xf numFmtId="0" fontId="4" fillId="0" borderId="17" xfId="0" applyFont="1" applyBorder="1" applyAlignment="1">
      <alignment horizontal="left" wrapText="1"/>
    </xf>
    <xf numFmtId="0" fontId="10" fillId="0" borderId="17" xfId="0" applyFont="1" applyFill="1" applyBorder="1" applyAlignment="1">
      <alignment horizontal="left" vertical="center" wrapText="1"/>
    </xf>
    <xf numFmtId="0" fontId="8" fillId="0" borderId="15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8" fillId="0" borderId="15" xfId="0" applyFont="1" applyBorder="1"/>
    <xf numFmtId="0" fontId="8" fillId="0" borderId="15" xfId="0" applyFont="1" applyBorder="1" applyAlignment="1">
      <alignment horizontal="center" vertical="center"/>
    </xf>
    <xf numFmtId="0" fontId="0" fillId="0" borderId="16" xfId="0" applyBorder="1"/>
    <xf numFmtId="164" fontId="6" fillId="0" borderId="16" xfId="1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14" fontId="0" fillId="0" borderId="20" xfId="0" applyNumberFormat="1" applyBorder="1"/>
    <xf numFmtId="0" fontId="4" fillId="0" borderId="16" xfId="0" applyFont="1" applyBorder="1" applyAlignment="1">
      <alignment horizontal="center" vertical="center"/>
    </xf>
    <xf numFmtId="14" fontId="4" fillId="0" borderId="16" xfId="0" applyNumberFormat="1" applyFont="1" applyFill="1" applyBorder="1" applyAlignment="1">
      <alignment horizontal="center" vertical="center"/>
    </xf>
    <xf numFmtId="0" fontId="8" fillId="0" borderId="16" xfId="0" applyFont="1" applyBorder="1"/>
    <xf numFmtId="164" fontId="11" fillId="0" borderId="16" xfId="1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3" xfId="0" applyBorder="1" applyAlignment="1">
      <alignment wrapText="1"/>
    </xf>
    <xf numFmtId="0" fontId="10" fillId="0" borderId="16" xfId="0" applyFont="1" applyBorder="1" applyAlignment="1">
      <alignment horizontal="center" vertical="center"/>
    </xf>
    <xf numFmtId="0" fontId="0" fillId="0" borderId="21" xfId="0" applyBorder="1"/>
    <xf numFmtId="0" fontId="15" fillId="0" borderId="21" xfId="0" applyFont="1" applyBorder="1"/>
    <xf numFmtId="0" fontId="4" fillId="4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 wrapText="1"/>
    </xf>
    <xf numFmtId="0" fontId="11" fillId="0" borderId="21" xfId="0" applyFont="1" applyBorder="1"/>
    <xf numFmtId="164" fontId="0" fillId="0" borderId="16" xfId="1" applyNumberFormat="1" applyFont="1" applyBorder="1"/>
    <xf numFmtId="165" fontId="0" fillId="0" borderId="13" xfId="1" applyNumberFormat="1" applyFont="1" applyBorder="1" applyAlignment="1">
      <alignment horizontal="center"/>
    </xf>
    <xf numFmtId="0" fontId="5" fillId="0" borderId="22" xfId="0" applyFont="1" applyBorder="1" applyAlignment="1">
      <alignment horizontal="center" vertical="center" wrapText="1"/>
    </xf>
    <xf numFmtId="165" fontId="0" fillId="0" borderId="16" xfId="1" applyNumberFormat="1" applyFont="1" applyBorder="1"/>
    <xf numFmtId="164" fontId="3" fillId="0" borderId="15" xfId="1" applyNumberFormat="1" applyFont="1" applyBorder="1" applyAlignment="1">
      <alignment vertical="center"/>
    </xf>
    <xf numFmtId="0" fontId="4" fillId="0" borderId="16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165" fontId="0" fillId="0" borderId="16" xfId="1" applyNumberFormat="1" applyFont="1" applyBorder="1" applyAlignment="1">
      <alignment vertical="center"/>
    </xf>
    <xf numFmtId="0" fontId="4" fillId="0" borderId="19" xfId="0" applyFont="1" applyBorder="1" applyAlignment="1">
      <alignment horizontal="center"/>
    </xf>
    <xf numFmtId="14" fontId="4" fillId="0" borderId="16" xfId="0" applyNumberFormat="1" applyFont="1" applyFill="1" applyBorder="1" applyAlignment="1">
      <alignment horizontal="center"/>
    </xf>
    <xf numFmtId="0" fontId="4" fillId="0" borderId="16" xfId="0" applyFont="1" applyBorder="1" applyAlignment="1">
      <alignment horizontal="center" wrapText="1"/>
    </xf>
    <xf numFmtId="0" fontId="6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164" fontId="6" fillId="0" borderId="16" xfId="1" applyNumberFormat="1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14" fontId="3" fillId="0" borderId="20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 wrapText="1"/>
    </xf>
    <xf numFmtId="164" fontId="3" fillId="0" borderId="16" xfId="1" applyNumberFormat="1" applyFont="1" applyBorder="1" applyAlignment="1">
      <alignment horizontal="center" vertical="center"/>
    </xf>
    <xf numFmtId="164" fontId="4" fillId="0" borderId="16" xfId="1" applyNumberFormat="1" applyFont="1" applyBorder="1" applyAlignment="1">
      <alignment horizontal="center" vertical="center" wrapText="1"/>
    </xf>
    <xf numFmtId="14" fontId="0" fillId="0" borderId="20" xfId="0" applyNumberFormat="1" applyFont="1" applyBorder="1"/>
    <xf numFmtId="0" fontId="8" fillId="0" borderId="16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0" fontId="6" fillId="0" borderId="15" xfId="0" applyFont="1" applyBorder="1" applyAlignment="1">
      <alignment horizontal="center" vertical="center" wrapText="1"/>
    </xf>
    <xf numFmtId="0" fontId="15" fillId="0" borderId="15" xfId="0" applyFont="1" applyBorder="1" applyAlignment="1">
      <alignment vertic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64" fontId="3" fillId="2" borderId="26" xfId="1" applyNumberFormat="1" applyFont="1" applyFill="1" applyBorder="1"/>
    <xf numFmtId="0" fontId="0" fillId="2" borderId="27" xfId="0" applyFill="1" applyBorder="1" applyAlignment="1">
      <alignment wrapText="1"/>
    </xf>
    <xf numFmtId="0" fontId="0" fillId="2" borderId="28" xfId="0" applyFill="1" applyBorder="1"/>
    <xf numFmtId="0" fontId="0" fillId="2" borderId="29" xfId="0" applyFill="1" applyBorder="1"/>
    <xf numFmtId="0" fontId="0" fillId="2" borderId="26" xfId="0" applyFill="1" applyBorder="1"/>
    <xf numFmtId="0" fontId="0" fillId="0" borderId="25" xfId="0" applyBorder="1"/>
    <xf numFmtId="0" fontId="13" fillId="0" borderId="15" xfId="0" applyFont="1" applyFill="1" applyBorder="1" applyAlignment="1">
      <alignment wrapText="1"/>
    </xf>
    <xf numFmtId="2" fontId="4" fillId="0" borderId="10" xfId="0" applyNumberFormat="1" applyFont="1" applyBorder="1" applyAlignment="1">
      <alignment horizontal="left" wrapText="1"/>
    </xf>
    <xf numFmtId="2" fontId="4" fillId="0" borderId="15" xfId="0" applyNumberFormat="1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5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/>
    </xf>
    <xf numFmtId="0" fontId="10" fillId="0" borderId="15" xfId="0" applyFont="1" applyBorder="1" applyAlignment="1">
      <alignment horizontal="left" wrapText="1"/>
    </xf>
    <xf numFmtId="0" fontId="5" fillId="0" borderId="15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wrapText="1"/>
    </xf>
    <xf numFmtId="0" fontId="6" fillId="0" borderId="16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4" fillId="4" borderId="10" xfId="0" quotePrefix="1" applyNumberFormat="1" applyFont="1" applyFill="1" applyBorder="1" applyAlignment="1">
      <alignment horizontal="center"/>
    </xf>
    <xf numFmtId="0" fontId="4" fillId="4" borderId="15" xfId="0" quotePrefix="1" applyNumberFormat="1" applyFont="1" applyFill="1" applyBorder="1" applyAlignment="1">
      <alignment horizontal="center"/>
    </xf>
    <xf numFmtId="0" fontId="0" fillId="2" borderId="30" xfId="0" applyFill="1" applyBorder="1" applyAlignment="1">
      <alignment wrapText="1"/>
    </xf>
    <xf numFmtId="2" fontId="4" fillId="0" borderId="15" xfId="0" quotePrefix="1" applyNumberFormat="1" applyFont="1" applyBorder="1" applyAlignment="1">
      <alignment horizontal="center" wrapText="1"/>
    </xf>
    <xf numFmtId="164" fontId="4" fillId="0" borderId="10" xfId="1" applyNumberFormat="1" applyFont="1" applyBorder="1" applyAlignment="1">
      <alignment horizontal="left" wrapText="1"/>
    </xf>
    <xf numFmtId="0" fontId="4" fillId="0" borderId="15" xfId="0" quotePrefix="1" applyFont="1" applyBorder="1" applyAlignment="1">
      <alignment horizontal="center" wrapText="1"/>
    </xf>
    <xf numFmtId="0" fontId="4" fillId="0" borderId="15" xfId="0" quotePrefix="1" applyFont="1" applyBorder="1" applyAlignment="1">
      <alignment horizontal="center" vertical="center" wrapText="1"/>
    </xf>
    <xf numFmtId="0" fontId="0" fillId="0" borderId="0" xfId="0" quotePrefix="1" applyAlignment="1">
      <alignment horizontal="center"/>
    </xf>
    <xf numFmtId="164" fontId="4" fillId="0" borderId="15" xfId="1" applyNumberFormat="1" applyFont="1" applyBorder="1" applyAlignment="1">
      <alignment horizontal="center" wrapText="1"/>
    </xf>
    <xf numFmtId="164" fontId="4" fillId="0" borderId="15" xfId="1" quotePrefix="1" applyNumberFormat="1" applyFont="1" applyBorder="1" applyAlignment="1">
      <alignment horizontal="center" wrapText="1"/>
    </xf>
    <xf numFmtId="0" fontId="5" fillId="0" borderId="16" xfId="0" quotePrefix="1" applyFont="1" applyBorder="1" applyAlignment="1">
      <alignment horizontal="center" vertical="center" wrapText="1"/>
    </xf>
    <xf numFmtId="0" fontId="6" fillId="0" borderId="16" xfId="0" quotePrefix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76"/>
  <sheetViews>
    <sheetView tabSelected="1" topLeftCell="A148" workbookViewId="0">
      <selection activeCell="L159" sqref="L159:L168"/>
    </sheetView>
  </sheetViews>
  <sheetFormatPr defaultRowHeight="15"/>
  <cols>
    <col min="1" max="1" width="6" customWidth="1"/>
    <col min="2" max="2" width="10.140625" customWidth="1"/>
    <col min="4" max="4" width="9.7109375" customWidth="1"/>
    <col min="5" max="5" width="10.85546875" customWidth="1"/>
    <col min="6" max="6" width="12.5703125" customWidth="1"/>
    <col min="7" max="7" width="23" customWidth="1"/>
    <col min="8" max="8" width="23.5703125" customWidth="1"/>
    <col min="9" max="9" width="23.28515625" customWidth="1"/>
    <col min="10" max="10" width="10.85546875" customWidth="1"/>
    <col min="11" max="11" width="18.42578125" customWidth="1"/>
    <col min="12" max="12" width="31.140625" customWidth="1"/>
    <col min="13" max="13" width="15.140625" customWidth="1"/>
    <col min="14" max="14" width="11" customWidth="1"/>
    <col min="15" max="15" width="33.85546875" customWidth="1"/>
  </cols>
  <sheetData>
    <row r="1" spans="1:15" ht="15.75" thickBot="1"/>
    <row r="2" spans="1:15" ht="15.75" thickBot="1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spans="1:15" ht="24.75" thickBot="1">
      <c r="A3" s="4" t="s">
        <v>1</v>
      </c>
      <c r="B3" s="5" t="s">
        <v>2</v>
      </c>
      <c r="C3" s="5" t="s">
        <v>3</v>
      </c>
      <c r="D3" s="5" t="s">
        <v>4</v>
      </c>
      <c r="E3" s="5" t="s">
        <v>382</v>
      </c>
      <c r="F3" s="5" t="s">
        <v>5</v>
      </c>
      <c r="G3" s="5" t="s">
        <v>6</v>
      </c>
      <c r="H3" s="5" t="s">
        <v>384</v>
      </c>
      <c r="I3" s="5" t="s">
        <v>385</v>
      </c>
      <c r="J3" s="5" t="s">
        <v>419</v>
      </c>
      <c r="K3" s="6" t="s">
        <v>7</v>
      </c>
      <c r="L3" s="5" t="s">
        <v>8</v>
      </c>
      <c r="M3" s="7" t="s">
        <v>9</v>
      </c>
      <c r="N3" s="8" t="s">
        <v>10</v>
      </c>
      <c r="O3" s="9" t="s">
        <v>11</v>
      </c>
    </row>
    <row r="4" spans="1:15">
      <c r="A4" s="10">
        <v>1</v>
      </c>
      <c r="B4" s="11">
        <v>45938</v>
      </c>
      <c r="C4" s="131">
        <v>580</v>
      </c>
      <c r="D4" s="12">
        <v>147.38</v>
      </c>
      <c r="E4" s="13">
        <v>26000</v>
      </c>
      <c r="F4" s="15">
        <v>200000</v>
      </c>
      <c r="G4" s="119" t="s">
        <v>12</v>
      </c>
      <c r="H4" s="135">
        <v>0</v>
      </c>
      <c r="I4" s="135">
        <v>0</v>
      </c>
      <c r="J4" s="135">
        <v>0</v>
      </c>
      <c r="K4" s="14" t="s">
        <v>7</v>
      </c>
      <c r="L4" s="14">
        <v>0</v>
      </c>
      <c r="M4" s="16" t="s">
        <v>13</v>
      </c>
      <c r="N4" s="17">
        <v>45953</v>
      </c>
      <c r="O4" s="18"/>
    </row>
    <row r="5" spans="1:15">
      <c r="A5" s="19">
        <f>A4+1</f>
        <v>2</v>
      </c>
      <c r="B5" s="20" t="s">
        <v>14</v>
      </c>
      <c r="C5" s="131">
        <v>580</v>
      </c>
      <c r="D5" s="12">
        <v>147.38</v>
      </c>
      <c r="E5" s="13">
        <v>26000</v>
      </c>
      <c r="F5" s="24">
        <v>832000</v>
      </c>
      <c r="G5" s="119" t="s">
        <v>12</v>
      </c>
      <c r="H5" s="135">
        <v>0</v>
      </c>
      <c r="I5" s="135">
        <v>0</v>
      </c>
      <c r="J5" s="135">
        <v>0</v>
      </c>
      <c r="K5" s="23" t="s">
        <v>7</v>
      </c>
      <c r="L5" s="23">
        <v>0</v>
      </c>
      <c r="M5" s="25" t="s">
        <v>15</v>
      </c>
      <c r="N5" s="26"/>
      <c r="O5" s="18"/>
    </row>
    <row r="6" spans="1:15">
      <c r="A6" s="19">
        <f t="shared" ref="A6:A69" si="0">A5+1</f>
        <v>3</v>
      </c>
      <c r="B6" s="20" t="s">
        <v>14</v>
      </c>
      <c r="C6" s="131">
        <v>580</v>
      </c>
      <c r="D6" s="12">
        <v>147.38</v>
      </c>
      <c r="E6" s="13">
        <v>26000</v>
      </c>
      <c r="F6" s="24">
        <f>100000+45633</f>
        <v>145633</v>
      </c>
      <c r="G6" s="119" t="s">
        <v>12</v>
      </c>
      <c r="H6" s="135">
        <v>0</v>
      </c>
      <c r="I6" s="135">
        <v>0</v>
      </c>
      <c r="J6" s="135">
        <v>0</v>
      </c>
      <c r="K6" s="23" t="s">
        <v>383</v>
      </c>
      <c r="L6" s="23" t="s">
        <v>16</v>
      </c>
      <c r="M6" s="25" t="s">
        <v>17</v>
      </c>
      <c r="N6" s="26"/>
      <c r="O6" s="18"/>
    </row>
    <row r="7" spans="1:15">
      <c r="A7" s="19">
        <f t="shared" si="0"/>
        <v>4</v>
      </c>
      <c r="B7" s="20" t="s">
        <v>18</v>
      </c>
      <c r="C7" s="131">
        <v>580</v>
      </c>
      <c r="D7" s="12">
        <v>147.38</v>
      </c>
      <c r="E7" s="13">
        <v>26000</v>
      </c>
      <c r="F7" s="24">
        <v>100000</v>
      </c>
      <c r="G7" s="119" t="s">
        <v>12</v>
      </c>
      <c r="H7" s="135">
        <v>0</v>
      </c>
      <c r="I7" s="135">
        <v>0</v>
      </c>
      <c r="J7" s="135">
        <v>0</v>
      </c>
      <c r="K7" s="23">
        <v>0</v>
      </c>
      <c r="L7" s="23" t="s">
        <v>19</v>
      </c>
      <c r="M7" s="25" t="s">
        <v>20</v>
      </c>
      <c r="N7" s="26"/>
      <c r="O7" s="18"/>
    </row>
    <row r="8" spans="1:15" ht="18.75" customHeight="1">
      <c r="A8" s="19">
        <f t="shared" si="0"/>
        <v>5</v>
      </c>
      <c r="B8" s="20">
        <v>45946</v>
      </c>
      <c r="C8" s="132">
        <v>608</v>
      </c>
      <c r="D8" s="22">
        <v>809.97</v>
      </c>
      <c r="E8" s="28">
        <v>26000</v>
      </c>
      <c r="F8" s="24">
        <v>200000</v>
      </c>
      <c r="G8" s="120" t="s">
        <v>21</v>
      </c>
      <c r="H8" s="134" t="s">
        <v>386</v>
      </c>
      <c r="I8" s="30" t="s">
        <v>387</v>
      </c>
      <c r="J8" s="135">
        <v>0</v>
      </c>
      <c r="K8" s="23">
        <v>0</v>
      </c>
      <c r="L8" s="31" t="s">
        <v>22</v>
      </c>
      <c r="M8" s="25" t="s">
        <v>23</v>
      </c>
      <c r="N8" s="32">
        <v>45961</v>
      </c>
      <c r="O8" s="18"/>
    </row>
    <row r="9" spans="1:15" ht="24" customHeight="1">
      <c r="A9" s="19">
        <f t="shared" si="0"/>
        <v>6</v>
      </c>
      <c r="B9" s="33">
        <v>45963</v>
      </c>
      <c r="C9" s="132">
        <v>608</v>
      </c>
      <c r="D9" s="22">
        <v>809.97</v>
      </c>
      <c r="E9" s="28">
        <v>26000</v>
      </c>
      <c r="F9" s="24">
        <v>500000</v>
      </c>
      <c r="G9" s="120" t="s">
        <v>21</v>
      </c>
      <c r="H9" s="134" t="s">
        <v>386</v>
      </c>
      <c r="I9" s="30" t="s">
        <v>387</v>
      </c>
      <c r="J9" s="135">
        <v>0</v>
      </c>
      <c r="K9" s="22" t="s">
        <v>24</v>
      </c>
      <c r="L9" s="118" t="s">
        <v>25</v>
      </c>
      <c r="M9" s="25" t="s">
        <v>26</v>
      </c>
      <c r="N9" s="32"/>
      <c r="O9" s="34"/>
    </row>
    <row r="10" spans="1:15" ht="21.75" customHeight="1">
      <c r="A10" s="19">
        <f t="shared" si="0"/>
        <v>7</v>
      </c>
      <c r="B10" s="20" t="s">
        <v>27</v>
      </c>
      <c r="C10" s="132">
        <v>608</v>
      </c>
      <c r="D10" s="22">
        <v>809.97</v>
      </c>
      <c r="E10" s="28">
        <v>26000</v>
      </c>
      <c r="F10" s="24">
        <v>813333</v>
      </c>
      <c r="G10" s="120" t="s">
        <v>21</v>
      </c>
      <c r="H10" s="134" t="s">
        <v>386</v>
      </c>
      <c r="I10" s="30" t="s">
        <v>387</v>
      </c>
      <c r="J10" s="135">
        <v>0</v>
      </c>
      <c r="K10" s="22">
        <v>0</v>
      </c>
      <c r="L10" s="29" t="s">
        <v>28</v>
      </c>
      <c r="M10" s="25" t="s">
        <v>29</v>
      </c>
      <c r="N10" s="26"/>
      <c r="O10" s="18"/>
    </row>
    <row r="11" spans="1:15" ht="36.75">
      <c r="A11" s="19">
        <f t="shared" si="0"/>
        <v>8</v>
      </c>
      <c r="B11" s="20" t="s">
        <v>30</v>
      </c>
      <c r="C11" s="132">
        <v>608</v>
      </c>
      <c r="D11" s="22">
        <v>809.97</v>
      </c>
      <c r="E11" s="28">
        <v>26000</v>
      </c>
      <c r="F11" s="24">
        <v>5506407</v>
      </c>
      <c r="G11" s="120" t="s">
        <v>21</v>
      </c>
      <c r="H11" s="134" t="s">
        <v>386</v>
      </c>
      <c r="I11" s="30" t="s">
        <v>387</v>
      </c>
      <c r="J11" s="135">
        <v>0</v>
      </c>
      <c r="K11" s="22" t="s">
        <v>31</v>
      </c>
      <c r="L11" s="29">
        <v>0</v>
      </c>
      <c r="M11" s="25" t="s">
        <v>32</v>
      </c>
      <c r="N11" s="26"/>
      <c r="O11" s="18"/>
    </row>
    <row r="12" spans="1:15">
      <c r="A12" s="19">
        <f t="shared" si="0"/>
        <v>9</v>
      </c>
      <c r="B12" s="20">
        <v>45948</v>
      </c>
      <c r="C12" s="35" t="s">
        <v>33</v>
      </c>
      <c r="D12" s="22">
        <v>366.73</v>
      </c>
      <c r="E12" s="28">
        <v>27000</v>
      </c>
      <c r="F12" s="24">
        <v>100000</v>
      </c>
      <c r="G12" s="121" t="s">
        <v>34</v>
      </c>
      <c r="H12" s="121">
        <v>0</v>
      </c>
      <c r="I12" s="121">
        <v>0</v>
      </c>
      <c r="J12" s="135">
        <v>0</v>
      </c>
      <c r="K12" s="23">
        <v>0</v>
      </c>
      <c r="L12" s="23" t="s">
        <v>388</v>
      </c>
      <c r="M12" s="25" t="s">
        <v>35</v>
      </c>
      <c r="N12" s="32">
        <v>45963</v>
      </c>
      <c r="O12" s="18"/>
    </row>
    <row r="13" spans="1:15">
      <c r="A13" s="19">
        <f t="shared" si="0"/>
        <v>10</v>
      </c>
      <c r="B13" s="20">
        <v>45948</v>
      </c>
      <c r="C13" s="27" t="s">
        <v>36</v>
      </c>
      <c r="D13" s="22">
        <v>261.19</v>
      </c>
      <c r="E13" s="28">
        <v>26000</v>
      </c>
      <c r="F13" s="24">
        <v>99000</v>
      </c>
      <c r="G13" s="121" t="s">
        <v>37</v>
      </c>
      <c r="H13" s="136" t="s">
        <v>389</v>
      </c>
      <c r="I13" s="121">
        <v>0</v>
      </c>
      <c r="J13" s="135">
        <v>0</v>
      </c>
      <c r="K13" s="23">
        <v>0</v>
      </c>
      <c r="L13" s="23" t="s">
        <v>38</v>
      </c>
      <c r="M13" s="25" t="s">
        <v>39</v>
      </c>
      <c r="N13" s="32">
        <v>45963</v>
      </c>
      <c r="O13" s="18"/>
    </row>
    <row r="14" spans="1:15">
      <c r="A14" s="19">
        <f t="shared" si="0"/>
        <v>11</v>
      </c>
      <c r="B14" s="20">
        <v>45952</v>
      </c>
      <c r="C14" s="27" t="s">
        <v>36</v>
      </c>
      <c r="D14" s="22">
        <v>261.19</v>
      </c>
      <c r="E14" s="28">
        <v>26000</v>
      </c>
      <c r="F14" s="24">
        <v>50000</v>
      </c>
      <c r="G14" s="121" t="s">
        <v>37</v>
      </c>
      <c r="H14" s="121">
        <v>0</v>
      </c>
      <c r="I14" s="121">
        <v>0</v>
      </c>
      <c r="J14" s="135">
        <v>0</v>
      </c>
      <c r="K14" s="23">
        <v>0</v>
      </c>
      <c r="L14" s="23" t="s">
        <v>40</v>
      </c>
      <c r="M14" s="25" t="s">
        <v>41</v>
      </c>
      <c r="N14" s="32"/>
      <c r="O14" s="18"/>
    </row>
    <row r="15" spans="1:15">
      <c r="A15" s="19">
        <f t="shared" si="0"/>
        <v>12</v>
      </c>
      <c r="B15" s="36" t="s">
        <v>42</v>
      </c>
      <c r="C15" s="27" t="s">
        <v>36</v>
      </c>
      <c r="D15" s="22">
        <v>261.19</v>
      </c>
      <c r="E15" s="28">
        <v>26000</v>
      </c>
      <c r="F15" s="24">
        <v>750000</v>
      </c>
      <c r="G15" s="121" t="s">
        <v>37</v>
      </c>
      <c r="H15" s="121">
        <v>0</v>
      </c>
      <c r="I15" s="121">
        <v>0</v>
      </c>
      <c r="J15" s="135">
        <v>0</v>
      </c>
      <c r="K15" s="23">
        <v>0</v>
      </c>
      <c r="L15" s="23" t="s">
        <v>44</v>
      </c>
      <c r="M15" s="37" t="s">
        <v>45</v>
      </c>
      <c r="N15" s="32"/>
      <c r="O15" s="18"/>
    </row>
    <row r="16" spans="1:15">
      <c r="A16" s="19">
        <f t="shared" si="0"/>
        <v>13</v>
      </c>
      <c r="B16" s="36" t="s">
        <v>46</v>
      </c>
      <c r="C16" s="27" t="s">
        <v>36</v>
      </c>
      <c r="D16" s="22">
        <v>261.19</v>
      </c>
      <c r="E16" s="28">
        <v>26000</v>
      </c>
      <c r="F16" s="24">
        <v>162000</v>
      </c>
      <c r="G16" s="121" t="s">
        <v>37</v>
      </c>
      <c r="H16" s="121">
        <v>0</v>
      </c>
      <c r="I16" s="121">
        <v>0</v>
      </c>
      <c r="J16" s="135">
        <v>0</v>
      </c>
      <c r="K16" s="23" t="s">
        <v>47</v>
      </c>
      <c r="L16" s="23">
        <v>0</v>
      </c>
      <c r="M16" s="37" t="s">
        <v>48</v>
      </c>
      <c r="N16" s="32"/>
      <c r="O16" s="18"/>
    </row>
    <row r="17" spans="1:15">
      <c r="A17" s="19">
        <f t="shared" si="0"/>
        <v>14</v>
      </c>
      <c r="B17" s="36" t="s">
        <v>46</v>
      </c>
      <c r="C17" s="27" t="s">
        <v>36</v>
      </c>
      <c r="D17" s="22">
        <v>261.19</v>
      </c>
      <c r="E17" s="28">
        <v>26000</v>
      </c>
      <c r="F17" s="24">
        <v>635500</v>
      </c>
      <c r="G17" s="121" t="s">
        <v>37</v>
      </c>
      <c r="H17" s="121">
        <v>0</v>
      </c>
      <c r="I17" s="121">
        <v>0</v>
      </c>
      <c r="J17" s="135">
        <v>0</v>
      </c>
      <c r="K17" s="23" t="s">
        <v>43</v>
      </c>
      <c r="L17" s="23" t="s">
        <v>49</v>
      </c>
      <c r="M17" s="37" t="s">
        <v>50</v>
      </c>
      <c r="N17" s="26"/>
      <c r="O17" s="18"/>
    </row>
    <row r="18" spans="1:15">
      <c r="A18" s="19">
        <f t="shared" si="0"/>
        <v>15</v>
      </c>
      <c r="B18" s="36" t="s">
        <v>14</v>
      </c>
      <c r="C18" s="27" t="s">
        <v>36</v>
      </c>
      <c r="D18" s="22">
        <v>261.19</v>
      </c>
      <c r="E18" s="28">
        <v>26000</v>
      </c>
      <c r="F18" s="24">
        <v>1240</v>
      </c>
      <c r="G18" s="121" t="s">
        <v>37</v>
      </c>
      <c r="H18" s="121">
        <v>0</v>
      </c>
      <c r="I18" s="121">
        <v>0</v>
      </c>
      <c r="J18" s="135">
        <v>0</v>
      </c>
      <c r="K18" s="23" t="s">
        <v>47</v>
      </c>
      <c r="L18" s="23">
        <v>0</v>
      </c>
      <c r="M18" s="37" t="s">
        <v>51</v>
      </c>
      <c r="N18" s="26"/>
      <c r="O18" s="18"/>
    </row>
    <row r="19" spans="1:15" ht="24.75">
      <c r="A19" s="19">
        <f t="shared" si="0"/>
        <v>16</v>
      </c>
      <c r="B19" s="36" t="s">
        <v>52</v>
      </c>
      <c r="C19" s="27" t="s">
        <v>36</v>
      </c>
      <c r="D19" s="22">
        <v>261.19</v>
      </c>
      <c r="E19" s="28">
        <v>26000</v>
      </c>
      <c r="F19" s="24">
        <v>2000000</v>
      </c>
      <c r="G19" s="121" t="s">
        <v>37</v>
      </c>
      <c r="H19" s="121">
        <v>0</v>
      </c>
      <c r="I19" s="121">
        <v>0</v>
      </c>
      <c r="J19" s="135">
        <v>0</v>
      </c>
      <c r="K19" s="23" t="s">
        <v>47</v>
      </c>
      <c r="L19" s="23">
        <v>0</v>
      </c>
      <c r="M19" s="37" t="s">
        <v>53</v>
      </c>
      <c r="N19" s="26"/>
      <c r="O19" s="18"/>
    </row>
    <row r="20" spans="1:15" ht="24.75">
      <c r="A20" s="19">
        <f t="shared" si="0"/>
        <v>17</v>
      </c>
      <c r="B20" s="20">
        <v>45948</v>
      </c>
      <c r="C20" s="27" t="s">
        <v>54</v>
      </c>
      <c r="D20" s="22">
        <v>250.07</v>
      </c>
      <c r="E20" s="30">
        <v>26200</v>
      </c>
      <c r="F20" s="24">
        <v>99000</v>
      </c>
      <c r="G20" s="122" t="s">
        <v>55</v>
      </c>
      <c r="H20" s="137" t="s">
        <v>390</v>
      </c>
      <c r="I20" s="29" t="s">
        <v>391</v>
      </c>
      <c r="J20" s="135">
        <v>0</v>
      </c>
      <c r="K20" s="23">
        <v>0</v>
      </c>
      <c r="L20" s="22" t="s">
        <v>56</v>
      </c>
      <c r="M20" s="25" t="s">
        <v>57</v>
      </c>
      <c r="N20" s="32">
        <v>45963</v>
      </c>
      <c r="O20" s="18"/>
    </row>
    <row r="21" spans="1:15">
      <c r="A21" s="19">
        <f t="shared" si="0"/>
        <v>18</v>
      </c>
      <c r="B21" s="20">
        <v>45969</v>
      </c>
      <c r="C21" s="27" t="s">
        <v>54</v>
      </c>
      <c r="D21" s="22">
        <v>250.07</v>
      </c>
      <c r="E21" s="30">
        <v>26200</v>
      </c>
      <c r="F21" s="24">
        <v>500000</v>
      </c>
      <c r="G21" s="122" t="s">
        <v>55</v>
      </c>
      <c r="H21" s="137" t="s">
        <v>390</v>
      </c>
      <c r="I21" s="29" t="s">
        <v>391</v>
      </c>
      <c r="J21" s="135">
        <v>0</v>
      </c>
      <c r="K21" s="23">
        <v>0</v>
      </c>
      <c r="L21" s="22" t="s">
        <v>58</v>
      </c>
      <c r="M21" s="25" t="s">
        <v>59</v>
      </c>
      <c r="N21" s="32"/>
      <c r="O21" s="18"/>
    </row>
    <row r="22" spans="1:15">
      <c r="A22" s="19">
        <f t="shared" si="0"/>
        <v>19</v>
      </c>
      <c r="B22" s="20">
        <v>45969</v>
      </c>
      <c r="C22" s="27" t="s">
        <v>54</v>
      </c>
      <c r="D22" s="22">
        <v>250.07</v>
      </c>
      <c r="E22" s="30">
        <v>26200</v>
      </c>
      <c r="F22" s="24">
        <v>500000</v>
      </c>
      <c r="G22" s="122" t="s">
        <v>55</v>
      </c>
      <c r="H22" s="137" t="s">
        <v>390</v>
      </c>
      <c r="I22" s="29" t="s">
        <v>391</v>
      </c>
      <c r="J22" s="135">
        <v>0</v>
      </c>
      <c r="K22" s="23" t="s">
        <v>60</v>
      </c>
      <c r="L22" s="23">
        <v>0</v>
      </c>
      <c r="M22" s="25" t="s">
        <v>61</v>
      </c>
      <c r="N22" s="32"/>
      <c r="O22" s="18"/>
    </row>
    <row r="23" spans="1:15">
      <c r="A23" s="19">
        <f t="shared" si="0"/>
        <v>20</v>
      </c>
      <c r="B23" s="20">
        <v>45969</v>
      </c>
      <c r="C23" s="27" t="s">
        <v>54</v>
      </c>
      <c r="D23" s="22">
        <v>250.07</v>
      </c>
      <c r="E23" s="30">
        <v>26200</v>
      </c>
      <c r="F23" s="24">
        <v>500000</v>
      </c>
      <c r="G23" s="122" t="s">
        <v>55</v>
      </c>
      <c r="H23" s="137" t="s">
        <v>390</v>
      </c>
      <c r="I23" s="29" t="s">
        <v>391</v>
      </c>
      <c r="J23" s="135">
        <v>0</v>
      </c>
      <c r="K23" s="23" t="s">
        <v>60</v>
      </c>
      <c r="L23" s="23">
        <v>0</v>
      </c>
      <c r="M23" s="25" t="s">
        <v>62</v>
      </c>
      <c r="N23" s="32"/>
      <c r="O23" s="18"/>
    </row>
    <row r="24" spans="1:15">
      <c r="A24" s="19">
        <f t="shared" si="0"/>
        <v>21</v>
      </c>
      <c r="B24" s="20">
        <v>45969</v>
      </c>
      <c r="C24" s="27" t="s">
        <v>54</v>
      </c>
      <c r="D24" s="22">
        <v>250.07</v>
      </c>
      <c r="E24" s="30">
        <v>26200</v>
      </c>
      <c r="F24" s="24">
        <v>500000</v>
      </c>
      <c r="G24" s="122" t="s">
        <v>55</v>
      </c>
      <c r="H24" s="137" t="s">
        <v>390</v>
      </c>
      <c r="I24" s="29" t="s">
        <v>391</v>
      </c>
      <c r="J24" s="135">
        <v>0</v>
      </c>
      <c r="K24" s="23" t="s">
        <v>60</v>
      </c>
      <c r="L24" s="23">
        <v>0</v>
      </c>
      <c r="M24" s="25" t="s">
        <v>63</v>
      </c>
      <c r="N24" s="32"/>
      <c r="O24" s="18"/>
    </row>
    <row r="25" spans="1:15">
      <c r="A25" s="19">
        <f t="shared" si="0"/>
        <v>22</v>
      </c>
      <c r="B25" s="20">
        <v>45951</v>
      </c>
      <c r="C25" s="27" t="s">
        <v>64</v>
      </c>
      <c r="D25" s="22">
        <v>183.36</v>
      </c>
      <c r="E25" s="28">
        <v>26000</v>
      </c>
      <c r="F25" s="24">
        <v>200000</v>
      </c>
      <c r="G25" s="121" t="s">
        <v>65</v>
      </c>
      <c r="H25" s="138" t="s">
        <v>392</v>
      </c>
      <c r="I25" s="22" t="s">
        <v>393</v>
      </c>
      <c r="J25" s="135">
        <v>0</v>
      </c>
      <c r="K25" s="23" t="s">
        <v>7</v>
      </c>
      <c r="L25" s="23">
        <v>0</v>
      </c>
      <c r="M25" s="25" t="s">
        <v>66</v>
      </c>
      <c r="N25" s="32">
        <v>45966</v>
      </c>
      <c r="O25" s="18"/>
    </row>
    <row r="26" spans="1:15">
      <c r="A26" s="19">
        <f t="shared" si="0"/>
        <v>23</v>
      </c>
      <c r="B26" s="20" t="s">
        <v>14</v>
      </c>
      <c r="C26" s="27" t="s">
        <v>64</v>
      </c>
      <c r="D26" s="22">
        <v>183.36</v>
      </c>
      <c r="E26" s="28">
        <v>26000</v>
      </c>
      <c r="F26" s="24">
        <v>700000</v>
      </c>
      <c r="G26" s="121" t="s">
        <v>65</v>
      </c>
      <c r="H26" s="138" t="s">
        <v>392</v>
      </c>
      <c r="I26" s="22" t="s">
        <v>393</v>
      </c>
      <c r="J26" s="135">
        <v>0</v>
      </c>
      <c r="K26" s="23" t="s">
        <v>7</v>
      </c>
      <c r="L26" s="23">
        <v>0</v>
      </c>
      <c r="M26" s="25" t="s">
        <v>67</v>
      </c>
      <c r="N26" s="26"/>
      <c r="O26" s="18"/>
    </row>
    <row r="27" spans="1:15">
      <c r="A27" s="19">
        <f t="shared" si="0"/>
        <v>24</v>
      </c>
      <c r="B27" s="20">
        <v>45974</v>
      </c>
      <c r="C27" s="27" t="s">
        <v>64</v>
      </c>
      <c r="D27" s="22">
        <v>183.36</v>
      </c>
      <c r="E27" s="28">
        <v>26000</v>
      </c>
      <c r="F27" s="24">
        <v>229200</v>
      </c>
      <c r="G27" s="121" t="s">
        <v>65</v>
      </c>
      <c r="H27" s="138" t="s">
        <v>392</v>
      </c>
      <c r="I27" s="22" t="s">
        <v>393</v>
      </c>
      <c r="J27" s="135">
        <v>0</v>
      </c>
      <c r="K27" s="23">
        <v>0</v>
      </c>
      <c r="L27" s="23" t="s">
        <v>68</v>
      </c>
      <c r="M27" s="25" t="s">
        <v>69</v>
      </c>
      <c r="N27" s="26"/>
      <c r="O27" s="18"/>
    </row>
    <row r="28" spans="1:15">
      <c r="A28" s="19">
        <f t="shared" si="0"/>
        <v>25</v>
      </c>
      <c r="B28" s="20" t="s">
        <v>52</v>
      </c>
      <c r="C28" s="27" t="s">
        <v>64</v>
      </c>
      <c r="D28" s="22">
        <v>183.36</v>
      </c>
      <c r="E28" s="28">
        <v>26000</v>
      </c>
      <c r="F28" s="24">
        <v>62640</v>
      </c>
      <c r="G28" s="121" t="s">
        <v>65</v>
      </c>
      <c r="H28" s="138" t="s">
        <v>392</v>
      </c>
      <c r="I28" s="22" t="s">
        <v>393</v>
      </c>
      <c r="J28" s="135">
        <v>0</v>
      </c>
      <c r="K28" s="23" t="s">
        <v>7</v>
      </c>
      <c r="L28" s="23">
        <v>0</v>
      </c>
      <c r="M28" s="25" t="s">
        <v>70</v>
      </c>
      <c r="N28" s="26"/>
      <c r="O28" s="18"/>
    </row>
    <row r="29" spans="1:15">
      <c r="A29" s="19">
        <f t="shared" si="0"/>
        <v>26</v>
      </c>
      <c r="B29" s="36" t="s">
        <v>71</v>
      </c>
      <c r="C29" s="38">
        <v>595</v>
      </c>
      <c r="D29" s="22">
        <v>493.75</v>
      </c>
      <c r="E29" s="28">
        <v>27000</v>
      </c>
      <c r="F29" s="24">
        <v>200000</v>
      </c>
      <c r="G29" s="123" t="s">
        <v>72</v>
      </c>
      <c r="H29" s="138" t="s">
        <v>394</v>
      </c>
      <c r="I29" s="139" t="s">
        <v>395</v>
      </c>
      <c r="J29" s="135">
        <v>0</v>
      </c>
      <c r="K29" s="23" t="s">
        <v>73</v>
      </c>
      <c r="L29" s="23">
        <v>0</v>
      </c>
      <c r="M29" s="37" t="s">
        <v>74</v>
      </c>
      <c r="N29" s="32">
        <v>45970</v>
      </c>
      <c r="O29" s="18">
        <f>498000+5125</f>
        <v>503125</v>
      </c>
    </row>
    <row r="30" spans="1:15" ht="24.75">
      <c r="A30" s="19">
        <f t="shared" si="0"/>
        <v>27</v>
      </c>
      <c r="B30" s="36" t="s">
        <v>75</v>
      </c>
      <c r="C30" s="38">
        <v>595</v>
      </c>
      <c r="D30" s="22">
        <v>493.75</v>
      </c>
      <c r="E30" s="28">
        <v>27000</v>
      </c>
      <c r="F30" s="24">
        <v>3498000</v>
      </c>
      <c r="G30" s="123" t="s">
        <v>72</v>
      </c>
      <c r="H30" s="138" t="s">
        <v>394</v>
      </c>
      <c r="I30" s="139" t="s">
        <v>395</v>
      </c>
      <c r="J30" s="135">
        <v>0</v>
      </c>
      <c r="K30" s="23" t="s">
        <v>76</v>
      </c>
      <c r="L30" s="23">
        <v>0</v>
      </c>
      <c r="M30" s="37" t="s">
        <v>77</v>
      </c>
      <c r="N30" s="32"/>
      <c r="O30" s="18"/>
    </row>
    <row r="31" spans="1:15">
      <c r="A31" s="19">
        <f t="shared" si="0"/>
        <v>28</v>
      </c>
      <c r="B31" s="36" t="s">
        <v>75</v>
      </c>
      <c r="C31" s="38">
        <v>595</v>
      </c>
      <c r="D31" s="22">
        <v>493.75</v>
      </c>
      <c r="E31" s="28">
        <v>27000</v>
      </c>
      <c r="F31" s="24">
        <v>5125</v>
      </c>
      <c r="G31" s="123" t="s">
        <v>72</v>
      </c>
      <c r="H31" s="138" t="s">
        <v>394</v>
      </c>
      <c r="I31" s="139" t="s">
        <v>395</v>
      </c>
      <c r="J31" s="135">
        <v>0</v>
      </c>
      <c r="K31" s="23">
        <v>0</v>
      </c>
      <c r="L31" s="22" t="s">
        <v>78</v>
      </c>
      <c r="M31" s="37" t="s">
        <v>79</v>
      </c>
      <c r="N31" s="32"/>
      <c r="O31" s="18"/>
    </row>
    <row r="32" spans="1:15">
      <c r="A32" s="19">
        <f t="shared" si="0"/>
        <v>29</v>
      </c>
      <c r="B32" s="36" t="s">
        <v>75</v>
      </c>
      <c r="C32" s="38">
        <v>595</v>
      </c>
      <c r="D32" s="22">
        <v>493.75</v>
      </c>
      <c r="E32" s="28">
        <v>27000</v>
      </c>
      <c r="F32" s="24">
        <v>822916</v>
      </c>
      <c r="G32" s="123" t="s">
        <v>72</v>
      </c>
      <c r="H32" s="138" t="s">
        <v>394</v>
      </c>
      <c r="I32" s="139" t="s">
        <v>395</v>
      </c>
      <c r="J32" s="135">
        <v>0</v>
      </c>
      <c r="K32" s="23">
        <v>0</v>
      </c>
      <c r="L32" s="22" t="s">
        <v>80</v>
      </c>
      <c r="M32" s="37" t="s">
        <v>81</v>
      </c>
      <c r="N32" s="32"/>
      <c r="O32" s="18"/>
    </row>
    <row r="33" spans="1:15" ht="24.75">
      <c r="A33" s="19">
        <f t="shared" si="0"/>
        <v>30</v>
      </c>
      <c r="B33" s="36" t="s">
        <v>71</v>
      </c>
      <c r="C33" s="23">
        <v>258</v>
      </c>
      <c r="D33" s="22">
        <v>366.73</v>
      </c>
      <c r="E33" s="28">
        <v>27000</v>
      </c>
      <c r="F33" s="24">
        <v>75000</v>
      </c>
      <c r="G33" s="121" t="s">
        <v>82</v>
      </c>
      <c r="H33" s="121">
        <v>0</v>
      </c>
      <c r="I33" s="121">
        <v>0</v>
      </c>
      <c r="J33" s="135">
        <v>0</v>
      </c>
      <c r="K33" s="23">
        <v>0</v>
      </c>
      <c r="L33" s="22" t="s">
        <v>83</v>
      </c>
      <c r="M33" s="25" t="s">
        <v>84</v>
      </c>
      <c r="N33" s="32">
        <v>45970</v>
      </c>
      <c r="O33" s="18"/>
    </row>
    <row r="34" spans="1:15" ht="24.75">
      <c r="A34" s="19">
        <f t="shared" si="0"/>
        <v>31</v>
      </c>
      <c r="B34" s="36" t="s">
        <v>14</v>
      </c>
      <c r="C34" s="23">
        <v>258</v>
      </c>
      <c r="D34" s="22">
        <v>366.73</v>
      </c>
      <c r="E34" s="28">
        <v>27000</v>
      </c>
      <c r="F34" s="24">
        <v>25000</v>
      </c>
      <c r="G34" s="121" t="s">
        <v>82</v>
      </c>
      <c r="H34" s="121">
        <v>0</v>
      </c>
      <c r="I34" s="121">
        <v>0</v>
      </c>
      <c r="J34" s="135">
        <v>0</v>
      </c>
      <c r="K34" s="23">
        <v>0</v>
      </c>
      <c r="L34" s="22" t="s">
        <v>85</v>
      </c>
      <c r="M34" s="25" t="s">
        <v>86</v>
      </c>
      <c r="N34" s="26"/>
      <c r="O34" s="18"/>
    </row>
    <row r="35" spans="1:15" ht="24.75">
      <c r="A35" s="19">
        <f t="shared" si="0"/>
        <v>32</v>
      </c>
      <c r="B35" s="36" t="s">
        <v>14</v>
      </c>
      <c r="C35" s="23">
        <v>258</v>
      </c>
      <c r="D35" s="22">
        <v>366.73</v>
      </c>
      <c r="E35" s="28">
        <v>27000</v>
      </c>
      <c r="F35" s="24">
        <v>500000</v>
      </c>
      <c r="G35" s="121" t="s">
        <v>82</v>
      </c>
      <c r="H35" s="121">
        <v>0</v>
      </c>
      <c r="I35" s="121">
        <v>0</v>
      </c>
      <c r="J35" s="135">
        <v>0</v>
      </c>
      <c r="K35" s="23">
        <v>0</v>
      </c>
      <c r="L35" s="22" t="s">
        <v>87</v>
      </c>
      <c r="M35" s="25" t="s">
        <v>86</v>
      </c>
      <c r="N35" s="26"/>
      <c r="O35" s="18"/>
    </row>
    <row r="36" spans="1:15" ht="24.75">
      <c r="A36" s="19">
        <f t="shared" si="0"/>
        <v>33</v>
      </c>
      <c r="B36" s="36" t="s">
        <v>18</v>
      </c>
      <c r="C36" s="23">
        <v>258</v>
      </c>
      <c r="D36" s="22">
        <v>366.73</v>
      </c>
      <c r="E36" s="28">
        <v>27000</v>
      </c>
      <c r="F36" s="24">
        <v>300000</v>
      </c>
      <c r="G36" s="121" t="s">
        <v>82</v>
      </c>
      <c r="H36" s="121">
        <v>0</v>
      </c>
      <c r="I36" s="121">
        <v>0</v>
      </c>
      <c r="J36" s="135">
        <v>0</v>
      </c>
      <c r="K36" s="23">
        <v>0</v>
      </c>
      <c r="L36" s="22" t="s">
        <v>88</v>
      </c>
      <c r="M36" s="25" t="s">
        <v>89</v>
      </c>
      <c r="N36" s="26"/>
      <c r="O36" s="18"/>
    </row>
    <row r="37" spans="1:15" ht="24.75">
      <c r="A37" s="19">
        <f t="shared" si="0"/>
        <v>34</v>
      </c>
      <c r="B37" s="20">
        <v>45987</v>
      </c>
      <c r="C37" s="23">
        <v>258</v>
      </c>
      <c r="D37" s="22">
        <v>366.73</v>
      </c>
      <c r="E37" s="28">
        <v>27000</v>
      </c>
      <c r="F37" s="24">
        <v>450000</v>
      </c>
      <c r="G37" s="121" t="s">
        <v>82</v>
      </c>
      <c r="H37" s="121">
        <v>0</v>
      </c>
      <c r="I37" s="121">
        <v>0</v>
      </c>
      <c r="J37" s="135">
        <v>0</v>
      </c>
      <c r="K37" s="23">
        <v>0</v>
      </c>
      <c r="L37" s="22" t="s">
        <v>90</v>
      </c>
      <c r="M37" s="25" t="s">
        <v>91</v>
      </c>
      <c r="N37" s="26"/>
      <c r="O37" s="40" t="s">
        <v>92</v>
      </c>
    </row>
    <row r="38" spans="1:15" ht="24.75">
      <c r="A38" s="19">
        <f t="shared" si="0"/>
        <v>35</v>
      </c>
      <c r="B38" s="20">
        <v>45988</v>
      </c>
      <c r="C38" s="23">
        <v>258</v>
      </c>
      <c r="D38" s="22">
        <v>366.73</v>
      </c>
      <c r="E38" s="28">
        <v>27000</v>
      </c>
      <c r="F38" s="24">
        <v>450000</v>
      </c>
      <c r="G38" s="121" t="s">
        <v>82</v>
      </c>
      <c r="H38" s="121">
        <v>0</v>
      </c>
      <c r="I38" s="121">
        <v>0</v>
      </c>
      <c r="J38" s="135">
        <v>0</v>
      </c>
      <c r="K38" s="23">
        <v>0</v>
      </c>
      <c r="L38" s="22" t="s">
        <v>93</v>
      </c>
      <c r="M38" s="25" t="s">
        <v>94</v>
      </c>
      <c r="N38" s="26"/>
      <c r="O38" s="40" t="s">
        <v>92</v>
      </c>
    </row>
    <row r="39" spans="1:15" ht="18.95" customHeight="1">
      <c r="A39" s="19">
        <f t="shared" si="0"/>
        <v>36</v>
      </c>
      <c r="B39" s="36" t="s">
        <v>95</v>
      </c>
      <c r="C39" s="22" t="s">
        <v>96</v>
      </c>
      <c r="D39" s="22" t="s">
        <v>97</v>
      </c>
      <c r="E39" s="28">
        <v>25800</v>
      </c>
      <c r="F39" s="24">
        <f>54000</f>
        <v>54000</v>
      </c>
      <c r="G39" s="121" t="s">
        <v>98</v>
      </c>
      <c r="H39" s="136" t="s">
        <v>396</v>
      </c>
      <c r="I39" s="22" t="s">
        <v>397</v>
      </c>
      <c r="J39" s="135">
        <v>0</v>
      </c>
      <c r="K39" s="23">
        <v>0</v>
      </c>
      <c r="L39" s="22" t="s">
        <v>99</v>
      </c>
      <c r="M39" s="37" t="s">
        <v>100</v>
      </c>
      <c r="N39" s="32">
        <v>45971</v>
      </c>
      <c r="O39" s="18"/>
    </row>
    <row r="40" spans="1:15" ht="18.95" customHeight="1">
      <c r="A40" s="19">
        <f t="shared" si="0"/>
        <v>37</v>
      </c>
      <c r="B40" s="20">
        <v>45983</v>
      </c>
      <c r="C40" s="22" t="s">
        <v>96</v>
      </c>
      <c r="D40" s="22" t="s">
        <v>97</v>
      </c>
      <c r="E40" s="28">
        <v>25800</v>
      </c>
      <c r="F40" s="24">
        <v>2800000</v>
      </c>
      <c r="G40" s="121" t="s">
        <v>98</v>
      </c>
      <c r="H40" s="136" t="s">
        <v>396</v>
      </c>
      <c r="I40" s="22" t="s">
        <v>397</v>
      </c>
      <c r="J40" s="135">
        <v>0</v>
      </c>
      <c r="K40" s="23" t="s">
        <v>60</v>
      </c>
      <c r="L40" s="22">
        <v>0</v>
      </c>
      <c r="M40" s="37" t="s">
        <v>101</v>
      </c>
      <c r="N40" s="32"/>
      <c r="O40" s="18"/>
    </row>
    <row r="41" spans="1:15" ht="18.95" customHeight="1">
      <c r="A41" s="19">
        <f t="shared" si="0"/>
        <v>38</v>
      </c>
      <c r="B41" s="20">
        <v>45983</v>
      </c>
      <c r="C41" s="22" t="s">
        <v>96</v>
      </c>
      <c r="D41" s="22" t="s">
        <v>97</v>
      </c>
      <c r="E41" s="28">
        <v>25800</v>
      </c>
      <c r="F41" s="24">
        <v>200000</v>
      </c>
      <c r="G41" s="121" t="s">
        <v>98</v>
      </c>
      <c r="H41" s="136" t="s">
        <v>396</v>
      </c>
      <c r="I41" s="22" t="s">
        <v>397</v>
      </c>
      <c r="J41" s="135">
        <v>0</v>
      </c>
      <c r="K41" s="23">
        <v>0</v>
      </c>
      <c r="L41" s="22" t="s">
        <v>102</v>
      </c>
      <c r="M41" s="37" t="s">
        <v>103</v>
      </c>
      <c r="N41" s="32"/>
      <c r="O41" s="18"/>
    </row>
    <row r="42" spans="1:15" ht="18.95" customHeight="1">
      <c r="A42" s="19">
        <f t="shared" si="0"/>
        <v>39</v>
      </c>
      <c r="B42" s="20">
        <v>45985</v>
      </c>
      <c r="C42" s="22" t="s">
        <v>96</v>
      </c>
      <c r="D42" s="22" t="s">
        <v>97</v>
      </c>
      <c r="E42" s="28">
        <v>25800</v>
      </c>
      <c r="F42" s="24">
        <v>1000000</v>
      </c>
      <c r="G42" s="121" t="s">
        <v>98</v>
      </c>
      <c r="H42" s="136" t="s">
        <v>396</v>
      </c>
      <c r="I42" s="22" t="s">
        <v>397</v>
      </c>
      <c r="J42" s="135">
        <v>0</v>
      </c>
      <c r="K42" s="23" t="s">
        <v>60</v>
      </c>
      <c r="L42" s="22">
        <v>0</v>
      </c>
      <c r="M42" s="37" t="s">
        <v>104</v>
      </c>
      <c r="N42" s="32"/>
      <c r="O42" s="18"/>
    </row>
    <row r="43" spans="1:15" ht="18.95" customHeight="1">
      <c r="A43" s="19">
        <f t="shared" si="0"/>
        <v>40</v>
      </c>
      <c r="B43" s="20">
        <v>45985</v>
      </c>
      <c r="C43" s="22" t="s">
        <v>96</v>
      </c>
      <c r="D43" s="22" t="s">
        <v>97</v>
      </c>
      <c r="E43" s="28">
        <v>25800</v>
      </c>
      <c r="F43" s="24">
        <v>500000</v>
      </c>
      <c r="G43" s="121" t="s">
        <v>98</v>
      </c>
      <c r="H43" s="136" t="s">
        <v>396</v>
      </c>
      <c r="I43" s="22" t="s">
        <v>397</v>
      </c>
      <c r="J43" s="135">
        <v>0</v>
      </c>
      <c r="K43" s="23" t="s">
        <v>60</v>
      </c>
      <c r="L43" s="22">
        <v>0</v>
      </c>
      <c r="M43" s="37" t="s">
        <v>105</v>
      </c>
      <c r="N43" s="32"/>
      <c r="O43" s="18"/>
    </row>
    <row r="44" spans="1:15" ht="18.95" customHeight="1">
      <c r="A44" s="19">
        <f t="shared" si="0"/>
        <v>41</v>
      </c>
      <c r="B44" s="20">
        <v>45990</v>
      </c>
      <c r="C44" s="22" t="s">
        <v>96</v>
      </c>
      <c r="D44" s="22" t="s">
        <v>97</v>
      </c>
      <c r="E44" s="28">
        <v>25800</v>
      </c>
      <c r="F44" s="24">
        <v>1000000</v>
      </c>
      <c r="G44" s="121" t="s">
        <v>98</v>
      </c>
      <c r="H44" s="136" t="s">
        <v>396</v>
      </c>
      <c r="I44" s="22" t="s">
        <v>397</v>
      </c>
      <c r="J44" s="135">
        <v>0</v>
      </c>
      <c r="K44" s="23" t="s">
        <v>60</v>
      </c>
      <c r="L44" s="22">
        <v>0</v>
      </c>
      <c r="M44" s="37" t="s">
        <v>106</v>
      </c>
      <c r="N44" s="32"/>
      <c r="O44" s="18"/>
    </row>
    <row r="45" spans="1:15" ht="18.95" customHeight="1">
      <c r="A45" s="19">
        <f t="shared" si="0"/>
        <v>42</v>
      </c>
      <c r="B45" s="20">
        <v>45990</v>
      </c>
      <c r="C45" s="22" t="s">
        <v>96</v>
      </c>
      <c r="D45" s="22" t="s">
        <v>97</v>
      </c>
      <c r="E45" s="28">
        <v>25800</v>
      </c>
      <c r="F45" s="24">
        <v>650000</v>
      </c>
      <c r="G45" s="121" t="s">
        <v>98</v>
      </c>
      <c r="H45" s="136" t="s">
        <v>396</v>
      </c>
      <c r="I45" s="22" t="s">
        <v>397</v>
      </c>
      <c r="J45" s="135">
        <v>0</v>
      </c>
      <c r="K45" s="23" t="s">
        <v>60</v>
      </c>
      <c r="L45" s="22">
        <v>0</v>
      </c>
      <c r="M45" s="37" t="s">
        <v>107</v>
      </c>
      <c r="N45" s="32"/>
      <c r="O45" s="18"/>
    </row>
    <row r="46" spans="1:15" ht="18.95" customHeight="1">
      <c r="A46" s="19">
        <f t="shared" si="0"/>
        <v>43</v>
      </c>
      <c r="B46" s="20">
        <v>45997</v>
      </c>
      <c r="C46" s="22" t="s">
        <v>96</v>
      </c>
      <c r="D46" s="22" t="s">
        <v>97</v>
      </c>
      <c r="E46" s="28">
        <v>25800</v>
      </c>
      <c r="F46" s="24">
        <v>1000000</v>
      </c>
      <c r="G46" s="121" t="s">
        <v>98</v>
      </c>
      <c r="H46" s="136" t="s">
        <v>396</v>
      </c>
      <c r="I46" s="22" t="s">
        <v>397</v>
      </c>
      <c r="J46" s="135">
        <v>0</v>
      </c>
      <c r="K46" s="23" t="s">
        <v>60</v>
      </c>
      <c r="L46" s="22">
        <v>0</v>
      </c>
      <c r="M46" s="42" t="s">
        <v>108</v>
      </c>
      <c r="N46" s="32"/>
      <c r="O46" s="18"/>
    </row>
    <row r="47" spans="1:15" ht="18.95" customHeight="1">
      <c r="A47" s="19">
        <f t="shared" si="0"/>
        <v>44</v>
      </c>
      <c r="B47" s="20">
        <v>45997</v>
      </c>
      <c r="C47" s="22" t="s">
        <v>96</v>
      </c>
      <c r="D47" s="22" t="s">
        <v>97</v>
      </c>
      <c r="E47" s="28">
        <v>25800</v>
      </c>
      <c r="F47" s="24">
        <v>296000</v>
      </c>
      <c r="G47" s="121" t="s">
        <v>98</v>
      </c>
      <c r="H47" s="136" t="s">
        <v>396</v>
      </c>
      <c r="I47" s="22" t="s">
        <v>397</v>
      </c>
      <c r="J47" s="135">
        <v>0</v>
      </c>
      <c r="K47" s="23" t="s">
        <v>60</v>
      </c>
      <c r="L47" s="22">
        <v>0</v>
      </c>
      <c r="M47" s="42" t="s">
        <v>109</v>
      </c>
      <c r="N47" s="32"/>
      <c r="O47" s="18"/>
    </row>
    <row r="48" spans="1:15">
      <c r="A48" s="19">
        <f t="shared" si="0"/>
        <v>45</v>
      </c>
      <c r="B48" s="36" t="s">
        <v>95</v>
      </c>
      <c r="C48" s="38">
        <v>349</v>
      </c>
      <c r="D48" s="22" t="s">
        <v>110</v>
      </c>
      <c r="E48" s="28">
        <v>26500</v>
      </c>
      <c r="F48" s="24">
        <v>54000</v>
      </c>
      <c r="G48" s="121" t="s">
        <v>111</v>
      </c>
      <c r="H48" s="136" t="s">
        <v>398</v>
      </c>
      <c r="I48" s="22" t="s">
        <v>399</v>
      </c>
      <c r="J48" s="135">
        <v>0</v>
      </c>
      <c r="K48" s="23">
        <v>0</v>
      </c>
      <c r="L48" s="22" t="s">
        <v>112</v>
      </c>
      <c r="M48" s="25" t="s">
        <v>113</v>
      </c>
      <c r="N48" s="32">
        <v>45971</v>
      </c>
      <c r="O48" s="18"/>
    </row>
    <row r="49" spans="1:15">
      <c r="A49" s="19">
        <f t="shared" si="0"/>
        <v>46</v>
      </c>
      <c r="B49" s="20">
        <v>45988</v>
      </c>
      <c r="C49" s="38">
        <v>349</v>
      </c>
      <c r="D49" s="22" t="s">
        <v>110</v>
      </c>
      <c r="E49" s="28">
        <v>26500</v>
      </c>
      <c r="F49" s="24">
        <v>229625</v>
      </c>
      <c r="G49" s="121" t="s">
        <v>111</v>
      </c>
      <c r="H49" s="136" t="s">
        <v>398</v>
      </c>
      <c r="I49" s="22" t="s">
        <v>399</v>
      </c>
      <c r="J49" s="135">
        <v>0</v>
      </c>
      <c r="K49" s="23">
        <v>0</v>
      </c>
      <c r="L49" s="22" t="s">
        <v>114</v>
      </c>
      <c r="M49" s="25" t="s">
        <v>115</v>
      </c>
      <c r="N49" s="32"/>
      <c r="O49" s="18" t="s">
        <v>116</v>
      </c>
    </row>
    <row r="50" spans="1:15">
      <c r="A50" s="19">
        <f t="shared" si="0"/>
        <v>47</v>
      </c>
      <c r="B50" s="20">
        <v>45988</v>
      </c>
      <c r="C50" s="38">
        <v>349</v>
      </c>
      <c r="D50" s="22" t="s">
        <v>110</v>
      </c>
      <c r="E50" s="28">
        <v>26500</v>
      </c>
      <c r="F50" s="24">
        <v>500000</v>
      </c>
      <c r="G50" s="121" t="s">
        <v>111</v>
      </c>
      <c r="H50" s="136" t="s">
        <v>398</v>
      </c>
      <c r="I50" s="22" t="s">
        <v>399</v>
      </c>
      <c r="J50" s="135">
        <v>0</v>
      </c>
      <c r="K50" s="23">
        <v>0</v>
      </c>
      <c r="L50" s="22" t="s">
        <v>117</v>
      </c>
      <c r="M50" s="25" t="s">
        <v>118</v>
      </c>
      <c r="N50" s="32"/>
      <c r="O50" s="18" t="s">
        <v>119</v>
      </c>
    </row>
    <row r="51" spans="1:15">
      <c r="A51" s="19">
        <f t="shared" si="0"/>
        <v>48</v>
      </c>
      <c r="B51" s="20">
        <v>45988</v>
      </c>
      <c r="C51" s="38">
        <v>349</v>
      </c>
      <c r="D51" s="22" t="s">
        <v>110</v>
      </c>
      <c r="E51" s="28">
        <v>26500</v>
      </c>
      <c r="F51" s="24">
        <v>376750</v>
      </c>
      <c r="G51" s="121" t="s">
        <v>111</v>
      </c>
      <c r="H51" s="136" t="s">
        <v>398</v>
      </c>
      <c r="I51" s="22" t="s">
        <v>399</v>
      </c>
      <c r="J51" s="135">
        <v>0</v>
      </c>
      <c r="K51" s="23">
        <v>0</v>
      </c>
      <c r="L51" s="22" t="s">
        <v>121</v>
      </c>
      <c r="M51" s="25" t="s">
        <v>120</v>
      </c>
      <c r="N51" s="32"/>
      <c r="O51" s="18" t="s">
        <v>119</v>
      </c>
    </row>
    <row r="52" spans="1:15">
      <c r="A52" s="19">
        <f t="shared" si="0"/>
        <v>49</v>
      </c>
      <c r="B52" s="20">
        <v>45988</v>
      </c>
      <c r="C52" s="38">
        <v>349</v>
      </c>
      <c r="D52" s="22" t="s">
        <v>110</v>
      </c>
      <c r="E52" s="28">
        <v>26500</v>
      </c>
      <c r="F52" s="24">
        <v>221000</v>
      </c>
      <c r="G52" s="121" t="s">
        <v>111</v>
      </c>
      <c r="H52" s="136" t="s">
        <v>398</v>
      </c>
      <c r="I52" s="22" t="s">
        <v>399</v>
      </c>
      <c r="J52" s="135">
        <v>0</v>
      </c>
      <c r="K52" s="23">
        <v>0</v>
      </c>
      <c r="L52" s="22" t="s">
        <v>121</v>
      </c>
      <c r="M52" s="25" t="s">
        <v>122</v>
      </c>
      <c r="N52" s="32"/>
      <c r="O52" s="18" t="s">
        <v>123</v>
      </c>
    </row>
    <row r="53" spans="1:15">
      <c r="A53" s="19">
        <f t="shared" si="0"/>
        <v>50</v>
      </c>
      <c r="B53" s="20">
        <v>45988</v>
      </c>
      <c r="C53" s="38">
        <v>349</v>
      </c>
      <c r="D53" s="22" t="s">
        <v>110</v>
      </c>
      <c r="E53" s="28">
        <v>26500</v>
      </c>
      <c r="F53" s="24">
        <v>426750</v>
      </c>
      <c r="G53" s="121" t="s">
        <v>111</v>
      </c>
      <c r="H53" s="136" t="s">
        <v>398</v>
      </c>
      <c r="I53" s="22" t="s">
        <v>399</v>
      </c>
      <c r="J53" s="135">
        <v>0</v>
      </c>
      <c r="K53" s="23">
        <v>0</v>
      </c>
      <c r="L53" s="22" t="s">
        <v>124</v>
      </c>
      <c r="M53" s="25" t="s">
        <v>125</v>
      </c>
      <c r="N53" s="32"/>
      <c r="O53" s="18" t="s">
        <v>123</v>
      </c>
    </row>
    <row r="54" spans="1:15">
      <c r="A54" s="19">
        <f t="shared" si="0"/>
        <v>51</v>
      </c>
      <c r="B54" s="20">
        <v>45988</v>
      </c>
      <c r="C54" s="38">
        <v>349</v>
      </c>
      <c r="D54" s="22" t="s">
        <v>110</v>
      </c>
      <c r="E54" s="28">
        <v>26500</v>
      </c>
      <c r="F54" s="24">
        <v>123250</v>
      </c>
      <c r="G54" s="121" t="s">
        <v>111</v>
      </c>
      <c r="H54" s="136" t="s">
        <v>398</v>
      </c>
      <c r="I54" s="22" t="s">
        <v>399</v>
      </c>
      <c r="J54" s="135">
        <v>0</v>
      </c>
      <c r="K54" s="23">
        <v>0</v>
      </c>
      <c r="L54" s="22" t="s">
        <v>126</v>
      </c>
      <c r="M54" s="25" t="s">
        <v>127</v>
      </c>
      <c r="N54" s="32"/>
      <c r="O54" s="18" t="s">
        <v>119</v>
      </c>
    </row>
    <row r="55" spans="1:15">
      <c r="A55" s="19">
        <f t="shared" si="0"/>
        <v>52</v>
      </c>
      <c r="B55" s="20">
        <v>45988</v>
      </c>
      <c r="C55" s="38">
        <v>349</v>
      </c>
      <c r="D55" s="22" t="s">
        <v>110</v>
      </c>
      <c r="E55" s="28">
        <v>26500</v>
      </c>
      <c r="F55" s="24">
        <v>500000</v>
      </c>
      <c r="G55" s="121" t="s">
        <v>111</v>
      </c>
      <c r="H55" s="136" t="s">
        <v>398</v>
      </c>
      <c r="I55" s="22" t="s">
        <v>399</v>
      </c>
      <c r="J55" s="135">
        <v>0</v>
      </c>
      <c r="K55" s="23">
        <v>0</v>
      </c>
      <c r="L55" s="22" t="s">
        <v>128</v>
      </c>
      <c r="M55" s="25" t="s">
        <v>129</v>
      </c>
      <c r="N55" s="32"/>
      <c r="O55" s="18" t="s">
        <v>130</v>
      </c>
    </row>
    <row r="56" spans="1:15">
      <c r="A56" s="19">
        <f t="shared" si="0"/>
        <v>53</v>
      </c>
      <c r="B56" s="36" t="s">
        <v>95</v>
      </c>
      <c r="C56" s="38">
        <v>527</v>
      </c>
      <c r="D56" s="22" t="s">
        <v>131</v>
      </c>
      <c r="E56" s="28">
        <v>26100</v>
      </c>
      <c r="F56" s="24">
        <v>50000</v>
      </c>
      <c r="G56" s="121" t="s">
        <v>132</v>
      </c>
      <c r="H56" s="140" t="s">
        <v>400</v>
      </c>
      <c r="I56" s="139" t="s">
        <v>401</v>
      </c>
      <c r="J56" s="135">
        <v>0</v>
      </c>
      <c r="K56" s="23">
        <v>0</v>
      </c>
      <c r="L56" s="22" t="s">
        <v>133</v>
      </c>
      <c r="M56" s="37" t="s">
        <v>134</v>
      </c>
      <c r="N56" s="32">
        <v>45971</v>
      </c>
      <c r="O56" s="18"/>
    </row>
    <row r="57" spans="1:15">
      <c r="A57" s="19">
        <f t="shared" si="0"/>
        <v>54</v>
      </c>
      <c r="B57" s="36" t="s">
        <v>95</v>
      </c>
      <c r="C57" s="38">
        <v>527</v>
      </c>
      <c r="D57" s="22" t="s">
        <v>131</v>
      </c>
      <c r="E57" s="28">
        <v>26100</v>
      </c>
      <c r="F57" s="24">
        <v>50000</v>
      </c>
      <c r="G57" s="121" t="s">
        <v>132</v>
      </c>
      <c r="H57" s="140" t="s">
        <v>400</v>
      </c>
      <c r="I57" s="139" t="s">
        <v>401</v>
      </c>
      <c r="J57" s="135">
        <v>0</v>
      </c>
      <c r="K57" s="23">
        <v>0</v>
      </c>
      <c r="L57" s="22" t="s">
        <v>135</v>
      </c>
      <c r="M57" s="37" t="s">
        <v>134</v>
      </c>
      <c r="N57" s="32"/>
      <c r="O57" s="18"/>
    </row>
    <row r="58" spans="1:15">
      <c r="A58" s="19">
        <f t="shared" si="0"/>
        <v>55</v>
      </c>
      <c r="B58" s="36" t="s">
        <v>136</v>
      </c>
      <c r="C58" s="38">
        <v>527</v>
      </c>
      <c r="D58" s="22" t="s">
        <v>131</v>
      </c>
      <c r="E58" s="28">
        <v>26100</v>
      </c>
      <c r="F58" s="43">
        <v>50000</v>
      </c>
      <c r="G58" s="124" t="s">
        <v>132</v>
      </c>
      <c r="H58" s="140" t="s">
        <v>400</v>
      </c>
      <c r="I58" s="139" t="s">
        <v>401</v>
      </c>
      <c r="J58" s="135">
        <v>0</v>
      </c>
      <c r="K58" s="23">
        <v>0</v>
      </c>
      <c r="L58" s="44" t="s">
        <v>137</v>
      </c>
      <c r="M58" s="37" t="s">
        <v>138</v>
      </c>
      <c r="N58" s="32"/>
      <c r="O58" s="45" t="s">
        <v>139</v>
      </c>
    </row>
    <row r="59" spans="1:15">
      <c r="A59" s="19">
        <f t="shared" si="0"/>
        <v>56</v>
      </c>
      <c r="B59" s="36" t="s">
        <v>30</v>
      </c>
      <c r="C59" s="38">
        <v>527</v>
      </c>
      <c r="D59" s="22" t="s">
        <v>131</v>
      </c>
      <c r="E59" s="28">
        <v>26100</v>
      </c>
      <c r="F59" s="43">
        <v>200000</v>
      </c>
      <c r="G59" s="124" t="s">
        <v>132</v>
      </c>
      <c r="H59" s="140" t="s">
        <v>400</v>
      </c>
      <c r="I59" s="139" t="s">
        <v>401</v>
      </c>
      <c r="J59" s="135">
        <v>0</v>
      </c>
      <c r="K59" s="23">
        <v>0</v>
      </c>
      <c r="L59" s="46" t="s">
        <v>140</v>
      </c>
      <c r="M59" s="37" t="s">
        <v>138</v>
      </c>
      <c r="N59" s="32"/>
      <c r="O59" s="45" t="s">
        <v>139</v>
      </c>
    </row>
    <row r="60" spans="1:15">
      <c r="A60" s="19">
        <f t="shared" si="0"/>
        <v>57</v>
      </c>
      <c r="B60" s="36" t="s">
        <v>75</v>
      </c>
      <c r="C60" s="38">
        <v>527</v>
      </c>
      <c r="D60" s="22" t="s">
        <v>131</v>
      </c>
      <c r="E60" s="28">
        <v>26100</v>
      </c>
      <c r="F60" s="43">
        <v>200000</v>
      </c>
      <c r="G60" s="124" t="s">
        <v>132</v>
      </c>
      <c r="H60" s="140" t="s">
        <v>400</v>
      </c>
      <c r="I60" s="139" t="s">
        <v>401</v>
      </c>
      <c r="J60" s="135">
        <v>0</v>
      </c>
      <c r="K60" s="23">
        <v>0</v>
      </c>
      <c r="L60" s="46" t="s">
        <v>141</v>
      </c>
      <c r="M60" s="37" t="s">
        <v>138</v>
      </c>
      <c r="N60" s="32"/>
      <c r="O60" s="45" t="s">
        <v>139</v>
      </c>
    </row>
    <row r="61" spans="1:15">
      <c r="A61" s="19">
        <f t="shared" si="0"/>
        <v>58</v>
      </c>
      <c r="B61" s="36" t="s">
        <v>75</v>
      </c>
      <c r="C61" s="38">
        <v>527</v>
      </c>
      <c r="D61" s="22" t="s">
        <v>131</v>
      </c>
      <c r="E61" s="28">
        <v>26100</v>
      </c>
      <c r="F61" s="43">
        <v>450000</v>
      </c>
      <c r="G61" s="124" t="s">
        <v>132</v>
      </c>
      <c r="H61" s="140" t="s">
        <v>400</v>
      </c>
      <c r="I61" s="139" t="s">
        <v>401</v>
      </c>
      <c r="J61" s="135">
        <v>0</v>
      </c>
      <c r="K61" s="23">
        <v>0</v>
      </c>
      <c r="L61" s="46" t="s">
        <v>142</v>
      </c>
      <c r="M61" s="37" t="s">
        <v>138</v>
      </c>
      <c r="N61" s="32"/>
      <c r="O61" s="45" t="s">
        <v>139</v>
      </c>
    </row>
    <row r="62" spans="1:15" ht="24.75">
      <c r="A62" s="19">
        <f t="shared" si="0"/>
        <v>59</v>
      </c>
      <c r="B62" s="36" t="s">
        <v>42</v>
      </c>
      <c r="C62" s="38">
        <v>617</v>
      </c>
      <c r="D62" s="22" t="s">
        <v>143</v>
      </c>
      <c r="E62" s="28">
        <v>26500</v>
      </c>
      <c r="F62" s="24">
        <v>100000</v>
      </c>
      <c r="G62" s="121" t="s">
        <v>144</v>
      </c>
      <c r="H62" s="140" t="s">
        <v>402</v>
      </c>
      <c r="I62" s="139" t="s">
        <v>403</v>
      </c>
      <c r="J62" s="135">
        <v>0</v>
      </c>
      <c r="K62" s="47">
        <v>10000</v>
      </c>
      <c r="L62" s="22" t="s">
        <v>145</v>
      </c>
      <c r="M62" s="25" t="s">
        <v>146</v>
      </c>
      <c r="N62" s="32">
        <v>45971</v>
      </c>
      <c r="O62" s="18"/>
    </row>
    <row r="63" spans="1:15">
      <c r="A63" s="19">
        <f t="shared" si="0"/>
        <v>60</v>
      </c>
      <c r="B63" s="36" t="s">
        <v>42</v>
      </c>
      <c r="C63" s="38">
        <v>617</v>
      </c>
      <c r="D63" s="22" t="s">
        <v>143</v>
      </c>
      <c r="E63" s="28">
        <v>26500</v>
      </c>
      <c r="F63" s="24">
        <v>100000</v>
      </c>
      <c r="G63" s="121" t="s">
        <v>144</v>
      </c>
      <c r="H63" s="140" t="s">
        <v>402</v>
      </c>
      <c r="I63" s="139" t="s">
        <v>403</v>
      </c>
      <c r="J63" s="135">
        <v>0</v>
      </c>
      <c r="K63" s="47" t="s">
        <v>7</v>
      </c>
      <c r="L63" s="22">
        <v>0</v>
      </c>
      <c r="M63" s="25" t="s">
        <v>147</v>
      </c>
      <c r="N63" s="26"/>
      <c r="O63" s="18"/>
    </row>
    <row r="64" spans="1:15" ht="24.75">
      <c r="A64" s="19">
        <f t="shared" si="0"/>
        <v>61</v>
      </c>
      <c r="B64" s="20">
        <v>45974</v>
      </c>
      <c r="C64" s="38">
        <v>617</v>
      </c>
      <c r="D64" s="22" t="s">
        <v>143</v>
      </c>
      <c r="E64" s="28">
        <v>26500</v>
      </c>
      <c r="F64" s="24">
        <v>2107200</v>
      </c>
      <c r="G64" s="121" t="s">
        <v>144</v>
      </c>
      <c r="H64" s="140" t="s">
        <v>402</v>
      </c>
      <c r="I64" s="139" t="s">
        <v>403</v>
      </c>
      <c r="J64" s="135">
        <v>0</v>
      </c>
      <c r="K64" s="47" t="s">
        <v>7</v>
      </c>
      <c r="L64" s="22">
        <v>0</v>
      </c>
      <c r="M64" s="25" t="s">
        <v>148</v>
      </c>
      <c r="N64" s="26"/>
      <c r="O64" s="18"/>
    </row>
    <row r="65" spans="1:15">
      <c r="A65" s="19">
        <f t="shared" si="0"/>
        <v>62</v>
      </c>
      <c r="B65" s="36" t="s">
        <v>42</v>
      </c>
      <c r="C65" s="38">
        <v>613</v>
      </c>
      <c r="D65" s="22" t="s">
        <v>149</v>
      </c>
      <c r="E65" s="28">
        <v>26300</v>
      </c>
      <c r="F65" s="24">
        <v>200000</v>
      </c>
      <c r="G65" s="121" t="s">
        <v>150</v>
      </c>
      <c r="H65" s="140" t="s">
        <v>404</v>
      </c>
      <c r="I65" s="139" t="s">
        <v>405</v>
      </c>
      <c r="J65" s="135">
        <v>0</v>
      </c>
      <c r="K65" s="23">
        <v>0</v>
      </c>
      <c r="L65" s="31" t="s">
        <v>151</v>
      </c>
      <c r="M65" s="25" t="s">
        <v>152</v>
      </c>
      <c r="N65" s="32">
        <v>45971</v>
      </c>
      <c r="O65" s="18"/>
    </row>
    <row r="66" spans="1:15" ht="24.75">
      <c r="A66" s="19">
        <f t="shared" si="0"/>
        <v>63</v>
      </c>
      <c r="B66" s="20">
        <v>45974</v>
      </c>
      <c r="C66" s="38">
        <v>613</v>
      </c>
      <c r="D66" s="22" t="s">
        <v>149</v>
      </c>
      <c r="E66" s="28">
        <v>26300</v>
      </c>
      <c r="F66" s="24">
        <v>2500000</v>
      </c>
      <c r="G66" s="121" t="s">
        <v>150</v>
      </c>
      <c r="H66" s="140" t="s">
        <v>404</v>
      </c>
      <c r="I66" s="139" t="s">
        <v>405</v>
      </c>
      <c r="J66" s="135">
        <v>0</v>
      </c>
      <c r="K66" s="23" t="s">
        <v>60</v>
      </c>
      <c r="L66" s="31">
        <v>0</v>
      </c>
      <c r="M66" s="25" t="s">
        <v>153</v>
      </c>
      <c r="N66" s="32"/>
      <c r="O66" s="18"/>
    </row>
    <row r="67" spans="1:15">
      <c r="A67" s="19">
        <f t="shared" si="0"/>
        <v>64</v>
      </c>
      <c r="B67" s="36" t="s">
        <v>42</v>
      </c>
      <c r="C67" s="23">
        <v>554</v>
      </c>
      <c r="D67" s="22" t="s">
        <v>154</v>
      </c>
      <c r="E67" s="28">
        <v>26500</v>
      </c>
      <c r="F67" s="24">
        <v>121000</v>
      </c>
      <c r="G67" s="125" t="s">
        <v>155</v>
      </c>
      <c r="H67" s="125">
        <v>0</v>
      </c>
      <c r="I67" s="125">
        <v>0</v>
      </c>
      <c r="J67" s="135">
        <v>0</v>
      </c>
      <c r="K67" s="23">
        <v>0</v>
      </c>
      <c r="L67" s="31" t="s">
        <v>156</v>
      </c>
      <c r="M67" s="25" t="s">
        <v>157</v>
      </c>
      <c r="N67" s="32">
        <v>45972</v>
      </c>
      <c r="O67" s="18"/>
    </row>
    <row r="68" spans="1:15">
      <c r="A68" s="19">
        <f t="shared" si="0"/>
        <v>65</v>
      </c>
      <c r="B68" s="36" t="s">
        <v>158</v>
      </c>
      <c r="C68" s="38">
        <v>585</v>
      </c>
      <c r="D68" s="22" t="s">
        <v>159</v>
      </c>
      <c r="E68" s="28">
        <v>26300</v>
      </c>
      <c r="F68" s="24">
        <v>100000</v>
      </c>
      <c r="G68" s="121" t="s">
        <v>160</v>
      </c>
      <c r="H68" s="140" t="s">
        <v>406</v>
      </c>
      <c r="I68" s="139" t="s">
        <v>407</v>
      </c>
      <c r="J68" s="135">
        <v>0</v>
      </c>
      <c r="K68" s="23">
        <v>0</v>
      </c>
      <c r="L68" s="41" t="s">
        <v>161</v>
      </c>
      <c r="M68" s="25" t="s">
        <v>162</v>
      </c>
      <c r="N68" s="32">
        <v>45975</v>
      </c>
      <c r="O68" s="18"/>
    </row>
    <row r="69" spans="1:15">
      <c r="A69" s="19">
        <f t="shared" si="0"/>
        <v>66</v>
      </c>
      <c r="B69" s="36" t="s">
        <v>158</v>
      </c>
      <c r="C69" s="38">
        <v>585</v>
      </c>
      <c r="D69" s="22" t="s">
        <v>159</v>
      </c>
      <c r="E69" s="28">
        <v>26300</v>
      </c>
      <c r="F69" s="24">
        <v>100000</v>
      </c>
      <c r="G69" s="121" t="s">
        <v>160</v>
      </c>
      <c r="H69" s="140" t="s">
        <v>406</v>
      </c>
      <c r="I69" s="139" t="s">
        <v>407</v>
      </c>
      <c r="J69" s="135">
        <v>0</v>
      </c>
      <c r="K69" s="23">
        <v>0</v>
      </c>
      <c r="L69" s="49" t="s">
        <v>163</v>
      </c>
      <c r="M69" s="25" t="s">
        <v>162</v>
      </c>
      <c r="N69" s="32"/>
      <c r="O69" s="18"/>
    </row>
    <row r="70" spans="1:15">
      <c r="A70" s="19">
        <f t="shared" ref="A70:A133" si="1">A69+1</f>
        <v>67</v>
      </c>
      <c r="B70" s="50">
        <v>45971</v>
      </c>
      <c r="C70" s="38">
        <v>585</v>
      </c>
      <c r="D70" s="22" t="s">
        <v>159</v>
      </c>
      <c r="E70" s="28">
        <v>26300</v>
      </c>
      <c r="F70" s="52">
        <v>40000</v>
      </c>
      <c r="G70" s="121" t="s">
        <v>160</v>
      </c>
      <c r="H70" s="140" t="s">
        <v>406</v>
      </c>
      <c r="I70" s="139" t="s">
        <v>407</v>
      </c>
      <c r="J70" s="135">
        <v>0</v>
      </c>
      <c r="K70" s="23">
        <v>0</v>
      </c>
      <c r="L70" s="31" t="s">
        <v>164</v>
      </c>
      <c r="M70" s="25" t="s">
        <v>165</v>
      </c>
      <c r="N70" s="32"/>
      <c r="O70" s="18"/>
    </row>
    <row r="71" spans="1:15">
      <c r="A71" s="19">
        <f t="shared" si="1"/>
        <v>68</v>
      </c>
      <c r="B71" s="20">
        <v>45973</v>
      </c>
      <c r="C71" s="38">
        <v>585</v>
      </c>
      <c r="D71" s="22" t="s">
        <v>159</v>
      </c>
      <c r="E71" s="28">
        <v>26300</v>
      </c>
      <c r="F71" s="24">
        <v>600000</v>
      </c>
      <c r="G71" s="121" t="s">
        <v>160</v>
      </c>
      <c r="H71" s="140" t="s">
        <v>406</v>
      </c>
      <c r="I71" s="139" t="s">
        <v>407</v>
      </c>
      <c r="J71" s="135">
        <v>0</v>
      </c>
      <c r="K71" s="23">
        <v>0</v>
      </c>
      <c r="L71" s="31" t="s">
        <v>166</v>
      </c>
      <c r="M71" s="25" t="s">
        <v>165</v>
      </c>
      <c r="N71" s="32"/>
      <c r="O71" s="40" t="s">
        <v>167</v>
      </c>
    </row>
    <row r="72" spans="1:15">
      <c r="A72" s="19">
        <f t="shared" si="1"/>
        <v>69</v>
      </c>
      <c r="B72" s="20">
        <v>45973</v>
      </c>
      <c r="C72" s="38">
        <v>585</v>
      </c>
      <c r="D72" s="22" t="s">
        <v>159</v>
      </c>
      <c r="E72" s="28">
        <v>26300</v>
      </c>
      <c r="F72" s="24">
        <v>300000</v>
      </c>
      <c r="G72" s="121" t="s">
        <v>160</v>
      </c>
      <c r="H72" s="140" t="s">
        <v>406</v>
      </c>
      <c r="I72" s="139" t="s">
        <v>407</v>
      </c>
      <c r="J72" s="135">
        <v>0</v>
      </c>
      <c r="K72" s="23">
        <v>0</v>
      </c>
      <c r="L72" s="31" t="s">
        <v>168</v>
      </c>
      <c r="M72" s="25" t="s">
        <v>165</v>
      </c>
      <c r="N72" s="32"/>
      <c r="O72" s="40" t="s">
        <v>169</v>
      </c>
    </row>
    <row r="73" spans="1:15">
      <c r="A73" s="19">
        <f t="shared" si="1"/>
        <v>70</v>
      </c>
      <c r="B73" s="53" t="s">
        <v>170</v>
      </c>
      <c r="C73" s="54">
        <v>553</v>
      </c>
      <c r="D73" s="29">
        <v>183.36</v>
      </c>
      <c r="E73" s="55">
        <v>25000</v>
      </c>
      <c r="F73" s="24">
        <v>100000</v>
      </c>
      <c r="G73" s="122" t="s">
        <v>172</v>
      </c>
      <c r="H73" s="140" t="s">
        <v>408</v>
      </c>
      <c r="I73" s="139" t="s">
        <v>409</v>
      </c>
      <c r="J73" s="135">
        <v>0</v>
      </c>
      <c r="K73" s="56" t="s">
        <v>7</v>
      </c>
      <c r="L73" s="56">
        <v>0</v>
      </c>
      <c r="M73" s="57" t="s">
        <v>173</v>
      </c>
      <c r="N73" s="32">
        <v>45976</v>
      </c>
      <c r="O73" s="18"/>
    </row>
    <row r="74" spans="1:15">
      <c r="A74" s="19">
        <f t="shared" si="1"/>
        <v>71</v>
      </c>
      <c r="B74" s="53" t="s">
        <v>174</v>
      </c>
      <c r="C74" s="54">
        <v>553</v>
      </c>
      <c r="D74" s="29">
        <v>183.36</v>
      </c>
      <c r="E74" s="55">
        <v>25000</v>
      </c>
      <c r="F74" s="24">
        <v>100000</v>
      </c>
      <c r="G74" s="122" t="s">
        <v>172</v>
      </c>
      <c r="H74" s="140" t="s">
        <v>408</v>
      </c>
      <c r="I74" s="139" t="s">
        <v>409</v>
      </c>
      <c r="J74" s="135">
        <v>0</v>
      </c>
      <c r="K74" s="56" t="s">
        <v>7</v>
      </c>
      <c r="L74" s="56">
        <v>0</v>
      </c>
      <c r="M74" s="57" t="s">
        <v>175</v>
      </c>
      <c r="N74" s="26"/>
      <c r="O74" s="18"/>
    </row>
    <row r="75" spans="1:15">
      <c r="A75" s="19">
        <f t="shared" si="1"/>
        <v>72</v>
      </c>
      <c r="B75" s="53" t="s">
        <v>136</v>
      </c>
      <c r="C75" s="54">
        <v>553</v>
      </c>
      <c r="D75" s="29">
        <v>183.36</v>
      </c>
      <c r="E75" s="55">
        <v>25000</v>
      </c>
      <c r="F75" s="24">
        <v>700000</v>
      </c>
      <c r="G75" s="122" t="s">
        <v>172</v>
      </c>
      <c r="H75" s="140" t="s">
        <v>408</v>
      </c>
      <c r="I75" s="139" t="s">
        <v>409</v>
      </c>
      <c r="J75" s="135">
        <v>0</v>
      </c>
      <c r="K75" s="56" t="s">
        <v>7</v>
      </c>
      <c r="L75" s="56">
        <v>0</v>
      </c>
      <c r="M75" s="57" t="s">
        <v>176</v>
      </c>
      <c r="N75" s="26"/>
      <c r="O75" s="18"/>
    </row>
    <row r="76" spans="1:15">
      <c r="A76" s="19">
        <f t="shared" si="1"/>
        <v>73</v>
      </c>
      <c r="B76" s="53" t="s">
        <v>136</v>
      </c>
      <c r="C76" s="54">
        <v>553</v>
      </c>
      <c r="D76" s="29">
        <v>183.36</v>
      </c>
      <c r="E76" s="55">
        <v>25000</v>
      </c>
      <c r="F76" s="24">
        <v>500000</v>
      </c>
      <c r="G76" s="122" t="s">
        <v>172</v>
      </c>
      <c r="H76" s="140" t="s">
        <v>408</v>
      </c>
      <c r="I76" s="139" t="s">
        <v>409</v>
      </c>
      <c r="J76" s="135">
        <v>0</v>
      </c>
      <c r="K76" s="56" t="s">
        <v>7</v>
      </c>
      <c r="L76" s="56">
        <v>0</v>
      </c>
      <c r="M76" s="57" t="s">
        <v>177</v>
      </c>
      <c r="N76" s="26"/>
      <c r="O76" s="18"/>
    </row>
    <row r="77" spans="1:15">
      <c r="A77" s="19">
        <f t="shared" si="1"/>
        <v>74</v>
      </c>
      <c r="B77" s="53" t="s">
        <v>136</v>
      </c>
      <c r="C77" s="54">
        <v>553</v>
      </c>
      <c r="D77" s="29">
        <v>183.36</v>
      </c>
      <c r="E77" s="55">
        <v>25000</v>
      </c>
      <c r="F77" s="24">
        <v>200000</v>
      </c>
      <c r="G77" s="122" t="s">
        <v>172</v>
      </c>
      <c r="H77" s="140" t="s">
        <v>408</v>
      </c>
      <c r="I77" s="139" t="s">
        <v>409</v>
      </c>
      <c r="J77" s="135">
        <v>0</v>
      </c>
      <c r="K77" s="56">
        <v>0</v>
      </c>
      <c r="L77" s="29" t="s">
        <v>178</v>
      </c>
      <c r="M77" s="57" t="s">
        <v>179</v>
      </c>
      <c r="N77" s="26"/>
      <c r="O77" s="18"/>
    </row>
    <row r="78" spans="1:15">
      <c r="A78" s="19">
        <f t="shared" si="1"/>
        <v>75</v>
      </c>
      <c r="B78" s="53" t="s">
        <v>174</v>
      </c>
      <c r="C78" s="56">
        <v>62</v>
      </c>
      <c r="D78" s="56">
        <v>220.06</v>
      </c>
      <c r="E78" s="56">
        <v>26300</v>
      </c>
      <c r="F78" s="24">
        <v>50000</v>
      </c>
      <c r="G78" s="122" t="s">
        <v>189</v>
      </c>
      <c r="H78" s="122">
        <v>0</v>
      </c>
      <c r="I78" s="122">
        <v>0</v>
      </c>
      <c r="J78" s="135">
        <v>0</v>
      </c>
      <c r="K78" s="56">
        <v>0</v>
      </c>
      <c r="L78" s="56" t="s">
        <v>410</v>
      </c>
      <c r="M78" s="57" t="s">
        <v>191</v>
      </c>
      <c r="N78" s="32">
        <v>45978</v>
      </c>
      <c r="O78" s="18"/>
    </row>
    <row r="79" spans="1:15">
      <c r="A79" s="19">
        <f t="shared" si="1"/>
        <v>76</v>
      </c>
      <c r="B79" s="53" t="s">
        <v>174</v>
      </c>
      <c r="C79" s="56">
        <v>61</v>
      </c>
      <c r="D79" s="56">
        <v>220.06</v>
      </c>
      <c r="E79" s="56">
        <v>26300</v>
      </c>
      <c r="F79" s="24">
        <v>50000</v>
      </c>
      <c r="G79" s="122" t="s">
        <v>192</v>
      </c>
      <c r="H79" s="122">
        <v>0</v>
      </c>
      <c r="I79" s="122">
        <v>0</v>
      </c>
      <c r="J79" s="135">
        <v>0</v>
      </c>
      <c r="K79" s="56">
        <v>0</v>
      </c>
      <c r="L79" s="56" t="s">
        <v>411</v>
      </c>
      <c r="M79" s="57" t="s">
        <v>193</v>
      </c>
      <c r="N79" s="32">
        <v>45978</v>
      </c>
      <c r="O79" s="18"/>
    </row>
    <row r="80" spans="1:15">
      <c r="A80" s="19">
        <f t="shared" si="1"/>
        <v>77</v>
      </c>
      <c r="B80" s="53" t="s">
        <v>174</v>
      </c>
      <c r="C80" s="56">
        <v>60</v>
      </c>
      <c r="D80" s="56">
        <v>220.06</v>
      </c>
      <c r="E80" s="56">
        <v>26300</v>
      </c>
      <c r="F80" s="24">
        <v>10000</v>
      </c>
      <c r="G80" s="122" t="s">
        <v>194</v>
      </c>
      <c r="H80" s="122">
        <v>0</v>
      </c>
      <c r="I80" s="122">
        <v>0</v>
      </c>
      <c r="J80" s="135">
        <v>0</v>
      </c>
      <c r="K80" s="56">
        <v>0</v>
      </c>
      <c r="L80" s="56" t="s">
        <v>190</v>
      </c>
      <c r="M80" s="57" t="s">
        <v>195</v>
      </c>
      <c r="N80" s="32">
        <v>45978</v>
      </c>
      <c r="O80" s="18"/>
    </row>
    <row r="81" spans="1:15">
      <c r="A81" s="19">
        <f t="shared" si="1"/>
        <v>78</v>
      </c>
      <c r="B81" s="53" t="s">
        <v>196</v>
      </c>
      <c r="C81" s="54">
        <v>484</v>
      </c>
      <c r="D81" s="56" t="s">
        <v>131</v>
      </c>
      <c r="E81" s="56">
        <v>26300</v>
      </c>
      <c r="F81" s="24">
        <f>200000</f>
        <v>200000</v>
      </c>
      <c r="G81" s="122" t="s">
        <v>197</v>
      </c>
      <c r="H81" s="137" t="s">
        <v>412</v>
      </c>
      <c r="I81" s="139" t="s">
        <v>413</v>
      </c>
      <c r="J81" s="135">
        <v>0</v>
      </c>
      <c r="K81" s="56" t="s">
        <v>7</v>
      </c>
      <c r="L81" s="56">
        <v>0</v>
      </c>
      <c r="M81" s="57" t="s">
        <v>198</v>
      </c>
      <c r="N81" s="32">
        <v>45979</v>
      </c>
      <c r="O81" s="18"/>
    </row>
    <row r="82" spans="1:15">
      <c r="A82" s="19">
        <f t="shared" si="1"/>
        <v>79</v>
      </c>
      <c r="B82" s="33">
        <v>45986</v>
      </c>
      <c r="C82" s="54">
        <v>484</v>
      </c>
      <c r="D82" s="56" t="s">
        <v>131</v>
      </c>
      <c r="E82" s="56">
        <v>26300</v>
      </c>
      <c r="F82" s="24">
        <v>400000</v>
      </c>
      <c r="G82" s="122" t="s">
        <v>197</v>
      </c>
      <c r="H82" s="137" t="s">
        <v>412</v>
      </c>
      <c r="I82" s="139" t="s">
        <v>413</v>
      </c>
      <c r="J82" s="135">
        <v>0</v>
      </c>
      <c r="K82" s="56" t="s">
        <v>7</v>
      </c>
      <c r="L82" s="56">
        <v>0</v>
      </c>
      <c r="M82" s="57" t="s">
        <v>199</v>
      </c>
      <c r="N82" s="32"/>
      <c r="O82" s="18"/>
    </row>
    <row r="83" spans="1:15">
      <c r="A83" s="19">
        <f t="shared" si="1"/>
        <v>80</v>
      </c>
      <c r="B83" s="33">
        <v>45986</v>
      </c>
      <c r="C83" s="54">
        <v>484</v>
      </c>
      <c r="D83" s="56" t="s">
        <v>131</v>
      </c>
      <c r="E83" s="56">
        <v>26300</v>
      </c>
      <c r="F83" s="24">
        <v>11184</v>
      </c>
      <c r="G83" s="122" t="s">
        <v>197</v>
      </c>
      <c r="H83" s="137" t="s">
        <v>412</v>
      </c>
      <c r="I83" s="139" t="s">
        <v>413</v>
      </c>
      <c r="J83" s="135">
        <v>0</v>
      </c>
      <c r="K83" s="56">
        <v>0</v>
      </c>
      <c r="L83" s="56" t="s">
        <v>200</v>
      </c>
      <c r="M83" s="57" t="s">
        <v>201</v>
      </c>
      <c r="N83" s="32"/>
      <c r="O83" s="18"/>
    </row>
    <row r="84" spans="1:15">
      <c r="A84" s="19">
        <f t="shared" si="1"/>
        <v>81</v>
      </c>
      <c r="B84" s="33">
        <v>45986</v>
      </c>
      <c r="C84" s="54">
        <v>484</v>
      </c>
      <c r="D84" s="56" t="s">
        <v>131</v>
      </c>
      <c r="E84" s="56">
        <v>26300</v>
      </c>
      <c r="F84" s="24">
        <v>550000</v>
      </c>
      <c r="G84" s="122" t="s">
        <v>197</v>
      </c>
      <c r="H84" s="137" t="s">
        <v>412</v>
      </c>
      <c r="I84" s="139" t="s">
        <v>413</v>
      </c>
      <c r="J84" s="135">
        <v>0</v>
      </c>
      <c r="K84" s="56">
        <v>0</v>
      </c>
      <c r="L84" s="56" t="s">
        <v>202</v>
      </c>
      <c r="M84" s="57" t="s">
        <v>203</v>
      </c>
      <c r="N84" s="32"/>
      <c r="O84" s="18"/>
    </row>
    <row r="85" spans="1:15">
      <c r="A85" s="19">
        <f t="shared" si="1"/>
        <v>82</v>
      </c>
      <c r="B85" s="53" t="s">
        <v>196</v>
      </c>
      <c r="C85" s="54">
        <v>485</v>
      </c>
      <c r="D85" s="56" t="s">
        <v>131</v>
      </c>
      <c r="E85" s="56">
        <v>26300</v>
      </c>
      <c r="F85" s="24">
        <f>200000</f>
        <v>200000</v>
      </c>
      <c r="G85" s="122" t="s">
        <v>197</v>
      </c>
      <c r="H85" s="137" t="s">
        <v>412</v>
      </c>
      <c r="I85" s="139" t="s">
        <v>413</v>
      </c>
      <c r="J85" s="135">
        <v>0</v>
      </c>
      <c r="K85" s="56" t="s">
        <v>7</v>
      </c>
      <c r="L85" s="56">
        <v>0</v>
      </c>
      <c r="M85" s="57" t="s">
        <v>198</v>
      </c>
      <c r="N85" s="32">
        <v>45979</v>
      </c>
      <c r="O85" s="18">
        <f>183.36*3</f>
        <v>550.08000000000004</v>
      </c>
    </row>
    <row r="86" spans="1:15">
      <c r="A86" s="19">
        <f t="shared" si="1"/>
        <v>83</v>
      </c>
      <c r="B86" s="33">
        <v>45986</v>
      </c>
      <c r="C86" s="54">
        <v>485</v>
      </c>
      <c r="D86" s="56" t="s">
        <v>131</v>
      </c>
      <c r="E86" s="56">
        <v>26300</v>
      </c>
      <c r="F86" s="24">
        <v>1000000</v>
      </c>
      <c r="G86" s="122" t="s">
        <v>197</v>
      </c>
      <c r="H86" s="137" t="s">
        <v>412</v>
      </c>
      <c r="I86" s="139" t="s">
        <v>413</v>
      </c>
      <c r="J86" s="135">
        <v>0</v>
      </c>
      <c r="K86" s="56" t="s">
        <v>7</v>
      </c>
      <c r="L86" s="56">
        <v>0</v>
      </c>
      <c r="M86" s="57" t="s">
        <v>104</v>
      </c>
      <c r="N86" s="32"/>
      <c r="O86" s="18"/>
    </row>
    <row r="87" spans="1:15">
      <c r="A87" s="19">
        <f t="shared" si="1"/>
        <v>84</v>
      </c>
      <c r="B87" s="33">
        <v>45986</v>
      </c>
      <c r="C87" s="54">
        <v>485</v>
      </c>
      <c r="D87" s="56" t="s">
        <v>131</v>
      </c>
      <c r="E87" s="56">
        <v>26300</v>
      </c>
      <c r="F87" s="24">
        <v>50000</v>
      </c>
      <c r="G87" s="122" t="s">
        <v>197</v>
      </c>
      <c r="H87" s="137" t="s">
        <v>412</v>
      </c>
      <c r="I87" s="139" t="s">
        <v>413</v>
      </c>
      <c r="J87" s="135">
        <v>0</v>
      </c>
      <c r="K87" s="56">
        <v>0</v>
      </c>
      <c r="L87" s="56" t="s">
        <v>204</v>
      </c>
      <c r="M87" s="57" t="s">
        <v>205</v>
      </c>
      <c r="N87" s="32"/>
      <c r="O87" s="18"/>
    </row>
    <row r="88" spans="1:15">
      <c r="A88" s="19">
        <f t="shared" si="1"/>
        <v>85</v>
      </c>
      <c r="B88" s="53" t="s">
        <v>196</v>
      </c>
      <c r="C88" s="54">
        <v>525</v>
      </c>
      <c r="D88" s="56" t="s">
        <v>206</v>
      </c>
      <c r="E88" s="56">
        <v>26300</v>
      </c>
      <c r="F88" s="24">
        <v>50000</v>
      </c>
      <c r="G88" s="122" t="s">
        <v>197</v>
      </c>
      <c r="H88" s="137" t="s">
        <v>412</v>
      </c>
      <c r="I88" s="139" t="s">
        <v>413</v>
      </c>
      <c r="J88" s="135">
        <v>0</v>
      </c>
      <c r="K88" s="56">
        <v>0</v>
      </c>
      <c r="L88" s="56" t="s">
        <v>207</v>
      </c>
      <c r="M88" s="57" t="s">
        <v>198</v>
      </c>
      <c r="N88" s="32">
        <v>45979</v>
      </c>
      <c r="O88" s="18"/>
    </row>
    <row r="89" spans="1:15">
      <c r="A89" s="19">
        <f t="shared" si="1"/>
        <v>86</v>
      </c>
      <c r="B89" s="33">
        <v>45985</v>
      </c>
      <c r="C89" s="54">
        <v>525</v>
      </c>
      <c r="D89" s="56" t="s">
        <v>206</v>
      </c>
      <c r="E89" s="56">
        <v>26300</v>
      </c>
      <c r="F89" s="24">
        <v>50000</v>
      </c>
      <c r="G89" s="122" t="s">
        <v>197</v>
      </c>
      <c r="H89" s="137" t="s">
        <v>412</v>
      </c>
      <c r="I89" s="139" t="s">
        <v>413</v>
      </c>
      <c r="J89" s="135">
        <v>0</v>
      </c>
      <c r="K89" s="56">
        <v>0</v>
      </c>
      <c r="L89" s="56" t="s">
        <v>208</v>
      </c>
      <c r="M89" s="57" t="s">
        <v>209</v>
      </c>
      <c r="N89" s="32"/>
      <c r="O89" s="18"/>
    </row>
    <row r="90" spans="1:15">
      <c r="A90" s="19">
        <f t="shared" si="1"/>
        <v>87</v>
      </c>
      <c r="B90" s="33">
        <v>45985</v>
      </c>
      <c r="C90" s="54">
        <v>525</v>
      </c>
      <c r="D90" s="56" t="s">
        <v>206</v>
      </c>
      <c r="E90" s="56">
        <v>26300</v>
      </c>
      <c r="F90" s="24">
        <v>200000</v>
      </c>
      <c r="G90" s="122" t="s">
        <v>197</v>
      </c>
      <c r="H90" s="137" t="s">
        <v>412</v>
      </c>
      <c r="I90" s="139" t="s">
        <v>413</v>
      </c>
      <c r="J90" s="135">
        <v>0</v>
      </c>
      <c r="K90" s="56">
        <v>0</v>
      </c>
      <c r="L90" s="56" t="s">
        <v>210</v>
      </c>
      <c r="M90" s="57" t="s">
        <v>211</v>
      </c>
      <c r="N90" s="32"/>
      <c r="O90" s="18"/>
    </row>
    <row r="91" spans="1:15">
      <c r="A91" s="19">
        <f t="shared" si="1"/>
        <v>88</v>
      </c>
      <c r="B91" s="33">
        <v>45986</v>
      </c>
      <c r="C91" s="54">
        <v>525</v>
      </c>
      <c r="D91" s="56" t="s">
        <v>206</v>
      </c>
      <c r="E91" s="56">
        <v>26300</v>
      </c>
      <c r="F91" s="24">
        <v>50000</v>
      </c>
      <c r="G91" s="122" t="s">
        <v>197</v>
      </c>
      <c r="H91" s="137" t="s">
        <v>412</v>
      </c>
      <c r="I91" s="139" t="s">
        <v>413</v>
      </c>
      <c r="J91" s="135">
        <v>0</v>
      </c>
      <c r="K91" s="56" t="s">
        <v>60</v>
      </c>
      <c r="L91" s="56">
        <v>0</v>
      </c>
      <c r="M91" s="57" t="s">
        <v>212</v>
      </c>
      <c r="N91" s="32"/>
      <c r="O91" s="18"/>
    </row>
    <row r="92" spans="1:15">
      <c r="A92" s="19">
        <f t="shared" si="1"/>
        <v>89</v>
      </c>
      <c r="B92" s="33">
        <v>45988</v>
      </c>
      <c r="C92" s="54">
        <v>525</v>
      </c>
      <c r="D92" s="56" t="s">
        <v>206</v>
      </c>
      <c r="E92" s="56">
        <v>26300</v>
      </c>
      <c r="F92" s="24">
        <v>850000</v>
      </c>
      <c r="G92" s="122" t="s">
        <v>197</v>
      </c>
      <c r="H92" s="137" t="s">
        <v>412</v>
      </c>
      <c r="I92" s="139" t="s">
        <v>413</v>
      </c>
      <c r="J92" s="135">
        <v>0</v>
      </c>
      <c r="K92" s="56" t="s">
        <v>60</v>
      </c>
      <c r="L92" s="56">
        <v>0</v>
      </c>
      <c r="M92" s="57" t="s">
        <v>213</v>
      </c>
      <c r="N92" s="32"/>
      <c r="O92" s="18"/>
    </row>
    <row r="93" spans="1:15">
      <c r="A93" s="19">
        <f t="shared" si="1"/>
        <v>90</v>
      </c>
      <c r="B93" s="33">
        <v>45988</v>
      </c>
      <c r="C93" s="54">
        <v>525</v>
      </c>
      <c r="D93" s="56" t="s">
        <v>206</v>
      </c>
      <c r="E93" s="56">
        <v>26300</v>
      </c>
      <c r="F93" s="24">
        <v>5592</v>
      </c>
      <c r="G93" s="122" t="s">
        <v>197</v>
      </c>
      <c r="H93" s="137" t="s">
        <v>412</v>
      </c>
      <c r="I93" s="139" t="s">
        <v>413</v>
      </c>
      <c r="J93" s="135">
        <v>0</v>
      </c>
      <c r="K93" s="56">
        <v>0</v>
      </c>
      <c r="L93" s="56" t="s">
        <v>214</v>
      </c>
      <c r="M93" s="57" t="s">
        <v>215</v>
      </c>
      <c r="N93" s="32"/>
      <c r="O93" s="18"/>
    </row>
    <row r="94" spans="1:15" ht="24">
      <c r="A94" s="19">
        <f t="shared" si="1"/>
        <v>91</v>
      </c>
      <c r="B94" s="53" t="s">
        <v>196</v>
      </c>
      <c r="C94" s="56">
        <v>491</v>
      </c>
      <c r="D94" s="56">
        <v>183.36</v>
      </c>
      <c r="E94" s="56">
        <v>25500</v>
      </c>
      <c r="F94" s="24">
        <v>200000</v>
      </c>
      <c r="G94" s="122" t="s">
        <v>216</v>
      </c>
      <c r="H94" s="122">
        <v>0</v>
      </c>
      <c r="I94" s="122">
        <v>0</v>
      </c>
      <c r="J94" s="135">
        <v>0</v>
      </c>
      <c r="K94" s="56">
        <v>0</v>
      </c>
      <c r="L94" s="56" t="s">
        <v>217</v>
      </c>
      <c r="M94" s="57" t="s">
        <v>218</v>
      </c>
      <c r="N94" s="32">
        <v>45979</v>
      </c>
      <c r="O94" s="18"/>
    </row>
    <row r="95" spans="1:15" ht="22.5">
      <c r="A95" s="19">
        <f t="shared" si="1"/>
        <v>92</v>
      </c>
      <c r="B95" s="33">
        <v>45968</v>
      </c>
      <c r="C95" s="54">
        <v>350</v>
      </c>
      <c r="D95" s="56" t="s">
        <v>110</v>
      </c>
      <c r="E95" s="56">
        <v>24000</v>
      </c>
      <c r="F95" s="24">
        <f>1000000</f>
        <v>1000000</v>
      </c>
      <c r="G95" s="122" t="s">
        <v>219</v>
      </c>
      <c r="H95" s="122">
        <v>0</v>
      </c>
      <c r="I95" s="122">
        <v>0</v>
      </c>
      <c r="J95" s="135">
        <v>0</v>
      </c>
      <c r="K95" s="56">
        <v>0</v>
      </c>
      <c r="L95" s="48" t="s">
        <v>220</v>
      </c>
      <c r="M95" s="61" t="s">
        <v>221</v>
      </c>
      <c r="N95" s="32">
        <v>45983</v>
      </c>
      <c r="O95" s="18"/>
    </row>
    <row r="96" spans="1:15">
      <c r="A96" s="19">
        <f t="shared" si="1"/>
        <v>93</v>
      </c>
      <c r="B96" s="33">
        <v>45968</v>
      </c>
      <c r="C96" s="54">
        <v>350</v>
      </c>
      <c r="D96" s="56" t="s">
        <v>110</v>
      </c>
      <c r="E96" s="56">
        <v>24000</v>
      </c>
      <c r="F96" s="24">
        <v>800000</v>
      </c>
      <c r="G96" s="122" t="s">
        <v>219</v>
      </c>
      <c r="H96" s="122">
        <v>0</v>
      </c>
      <c r="I96" s="122">
        <v>0</v>
      </c>
      <c r="J96" s="135">
        <v>0</v>
      </c>
      <c r="K96" s="56" t="s">
        <v>47</v>
      </c>
      <c r="L96" s="48">
        <v>0</v>
      </c>
      <c r="M96" s="61" t="s">
        <v>222</v>
      </c>
      <c r="N96" s="32"/>
      <c r="O96" s="18"/>
    </row>
    <row r="97" spans="1:15">
      <c r="A97" s="19">
        <f t="shared" si="1"/>
        <v>94</v>
      </c>
      <c r="B97" s="33">
        <v>45968</v>
      </c>
      <c r="C97" s="54">
        <v>350</v>
      </c>
      <c r="D97" s="56" t="s">
        <v>110</v>
      </c>
      <c r="E97" s="56">
        <v>24000</v>
      </c>
      <c r="F97" s="24">
        <v>800000</v>
      </c>
      <c r="G97" s="122" t="s">
        <v>219</v>
      </c>
      <c r="H97" s="122">
        <v>0</v>
      </c>
      <c r="I97" s="122">
        <v>0</v>
      </c>
      <c r="J97" s="135">
        <v>0</v>
      </c>
      <c r="K97" s="56" t="s">
        <v>47</v>
      </c>
      <c r="L97" s="48">
        <v>0</v>
      </c>
      <c r="M97" s="61" t="s">
        <v>223</v>
      </c>
      <c r="N97" s="32"/>
      <c r="O97" s="18"/>
    </row>
    <row r="98" spans="1:15" ht="22.5">
      <c r="A98" s="19">
        <f t="shared" si="1"/>
        <v>95</v>
      </c>
      <c r="B98" s="33">
        <v>45968</v>
      </c>
      <c r="C98" s="54">
        <v>351</v>
      </c>
      <c r="D98" s="62" t="s">
        <v>131</v>
      </c>
      <c r="E98" s="63">
        <v>24000</v>
      </c>
      <c r="F98" s="24">
        <f>1000000</f>
        <v>1000000</v>
      </c>
      <c r="G98" s="122" t="s">
        <v>224</v>
      </c>
      <c r="H98" s="122">
        <v>0</v>
      </c>
      <c r="I98" s="122">
        <v>0</v>
      </c>
      <c r="J98" s="135">
        <v>0</v>
      </c>
      <c r="K98" s="56">
        <v>0</v>
      </c>
      <c r="L98" s="48" t="s">
        <v>225</v>
      </c>
      <c r="M98" s="61" t="s">
        <v>226</v>
      </c>
      <c r="N98" s="32">
        <v>45983</v>
      </c>
      <c r="O98" s="18"/>
    </row>
    <row r="99" spans="1:15">
      <c r="A99" s="19">
        <f t="shared" si="1"/>
        <v>96</v>
      </c>
      <c r="B99" s="33"/>
      <c r="C99" s="54">
        <v>351</v>
      </c>
      <c r="D99" s="62" t="s">
        <v>131</v>
      </c>
      <c r="E99" s="63">
        <v>24000</v>
      </c>
      <c r="F99" s="24">
        <v>600000</v>
      </c>
      <c r="G99" s="122" t="s">
        <v>224</v>
      </c>
      <c r="H99" s="122">
        <v>0</v>
      </c>
      <c r="I99" s="122">
        <v>0</v>
      </c>
      <c r="J99" s="135">
        <v>0</v>
      </c>
      <c r="K99" s="56" t="s">
        <v>47</v>
      </c>
      <c r="L99" s="48">
        <v>0</v>
      </c>
      <c r="M99" s="61" t="s">
        <v>227</v>
      </c>
      <c r="N99" s="32"/>
      <c r="O99" s="18"/>
    </row>
    <row r="100" spans="1:15">
      <c r="A100" s="19">
        <f t="shared" si="1"/>
        <v>97</v>
      </c>
      <c r="B100" s="33">
        <v>45968</v>
      </c>
      <c r="C100" s="54">
        <v>374</v>
      </c>
      <c r="D100" s="64" t="s">
        <v>131</v>
      </c>
      <c r="E100" s="51">
        <v>24000</v>
      </c>
      <c r="F100" s="24">
        <v>1000000</v>
      </c>
      <c r="G100" s="122" t="s">
        <v>224</v>
      </c>
      <c r="H100" s="122">
        <v>0</v>
      </c>
      <c r="I100" s="122">
        <v>0</v>
      </c>
      <c r="J100" s="135">
        <v>0</v>
      </c>
      <c r="K100" s="56" t="s">
        <v>47</v>
      </c>
      <c r="L100" s="51"/>
      <c r="M100" s="61" t="s">
        <v>228</v>
      </c>
      <c r="N100" s="32">
        <v>45983</v>
      </c>
      <c r="O100" s="18"/>
    </row>
    <row r="101" spans="1:15">
      <c r="A101" s="19">
        <f t="shared" si="1"/>
        <v>98</v>
      </c>
      <c r="B101" s="33"/>
      <c r="C101" s="54">
        <v>374</v>
      </c>
      <c r="D101" s="64" t="s">
        <v>131</v>
      </c>
      <c r="E101" s="51">
        <v>24000</v>
      </c>
      <c r="F101" s="24">
        <v>700000</v>
      </c>
      <c r="G101" s="122" t="s">
        <v>224</v>
      </c>
      <c r="H101" s="122">
        <v>0</v>
      </c>
      <c r="I101" s="122">
        <v>0</v>
      </c>
      <c r="J101" s="135">
        <v>0</v>
      </c>
      <c r="K101" s="56" t="s">
        <v>47</v>
      </c>
      <c r="L101" s="51"/>
      <c r="M101" s="61" t="s">
        <v>229</v>
      </c>
      <c r="N101" s="32"/>
      <c r="O101" s="18"/>
    </row>
    <row r="102" spans="1:15">
      <c r="A102" s="19">
        <f t="shared" si="1"/>
        <v>99</v>
      </c>
      <c r="B102" s="33">
        <v>45965</v>
      </c>
      <c r="C102" s="54">
        <v>375</v>
      </c>
      <c r="D102" s="65" t="s">
        <v>110</v>
      </c>
      <c r="E102" s="63">
        <v>24000</v>
      </c>
      <c r="F102" s="24">
        <v>45000</v>
      </c>
      <c r="G102" s="125" t="s">
        <v>230</v>
      </c>
      <c r="H102" s="122">
        <v>0</v>
      </c>
      <c r="I102" s="122">
        <v>0</v>
      </c>
      <c r="J102" s="135">
        <v>0</v>
      </c>
      <c r="K102" s="56">
        <v>0</v>
      </c>
      <c r="L102" s="48" t="s">
        <v>231</v>
      </c>
      <c r="M102" s="57" t="s">
        <v>232</v>
      </c>
      <c r="N102" s="32">
        <v>45983</v>
      </c>
      <c r="O102" s="18"/>
    </row>
    <row r="103" spans="1:15">
      <c r="A103" s="19">
        <f t="shared" si="1"/>
        <v>100</v>
      </c>
      <c r="B103" s="33">
        <v>45968</v>
      </c>
      <c r="C103" s="54">
        <v>375</v>
      </c>
      <c r="D103" s="65" t="s">
        <v>110</v>
      </c>
      <c r="E103" s="63">
        <v>24000</v>
      </c>
      <c r="F103" s="67">
        <v>800000</v>
      </c>
      <c r="G103" s="125" t="s">
        <v>230</v>
      </c>
      <c r="H103" s="122">
        <v>0</v>
      </c>
      <c r="I103" s="122">
        <v>0</v>
      </c>
      <c r="J103" s="135">
        <v>0</v>
      </c>
      <c r="K103" s="56" t="s">
        <v>47</v>
      </c>
      <c r="L103" s="68">
        <v>0</v>
      </c>
      <c r="M103" s="57" t="s">
        <v>233</v>
      </c>
      <c r="N103" s="69"/>
      <c r="O103" s="18"/>
    </row>
    <row r="104" spans="1:15">
      <c r="A104" s="19">
        <f t="shared" si="1"/>
        <v>101</v>
      </c>
      <c r="B104" s="33">
        <v>45968</v>
      </c>
      <c r="C104" s="54">
        <v>375</v>
      </c>
      <c r="D104" s="65" t="s">
        <v>110</v>
      </c>
      <c r="E104" s="63">
        <v>24000</v>
      </c>
      <c r="F104" s="67">
        <v>800000</v>
      </c>
      <c r="G104" s="125" t="s">
        <v>230</v>
      </c>
      <c r="H104" s="122">
        <v>0</v>
      </c>
      <c r="I104" s="122">
        <v>0</v>
      </c>
      <c r="J104" s="135">
        <v>0</v>
      </c>
      <c r="K104" s="56" t="s">
        <v>47</v>
      </c>
      <c r="L104" s="68">
        <v>0</v>
      </c>
      <c r="M104" s="57" t="s">
        <v>234</v>
      </c>
      <c r="N104" s="69"/>
      <c r="O104" s="18"/>
    </row>
    <row r="105" spans="1:15" ht="33.75">
      <c r="A105" s="19">
        <f t="shared" si="1"/>
        <v>102</v>
      </c>
      <c r="B105" s="33">
        <v>45973</v>
      </c>
      <c r="C105" s="54">
        <v>375</v>
      </c>
      <c r="D105" s="65" t="s">
        <v>110</v>
      </c>
      <c r="E105" s="63">
        <v>24000</v>
      </c>
      <c r="F105" s="67">
        <v>1000000</v>
      </c>
      <c r="G105" s="125" t="s">
        <v>230</v>
      </c>
      <c r="H105" s="122">
        <v>0</v>
      </c>
      <c r="I105" s="122">
        <v>0</v>
      </c>
      <c r="J105" s="135">
        <v>0</v>
      </c>
      <c r="K105" s="70">
        <v>0</v>
      </c>
      <c r="L105" s="48" t="s">
        <v>235</v>
      </c>
      <c r="M105" s="57" t="s">
        <v>236</v>
      </c>
      <c r="N105" s="69"/>
      <c r="O105" s="18"/>
    </row>
    <row r="106" spans="1:15">
      <c r="A106" s="19">
        <f t="shared" si="1"/>
        <v>103</v>
      </c>
      <c r="B106" s="71">
        <v>45994</v>
      </c>
      <c r="C106" s="54">
        <v>375</v>
      </c>
      <c r="D106" s="65" t="s">
        <v>110</v>
      </c>
      <c r="E106" s="63">
        <v>24000</v>
      </c>
      <c r="F106" s="67">
        <v>900000</v>
      </c>
      <c r="G106" s="125" t="s">
        <v>230</v>
      </c>
      <c r="H106" s="122">
        <v>0</v>
      </c>
      <c r="I106" s="122">
        <v>0</v>
      </c>
      <c r="J106" s="135">
        <v>0</v>
      </c>
      <c r="K106" s="70">
        <v>0</v>
      </c>
      <c r="L106" s="68" t="s">
        <v>237</v>
      </c>
      <c r="M106" s="57" t="s">
        <v>238</v>
      </c>
      <c r="N106" s="69"/>
      <c r="O106" s="18"/>
    </row>
    <row r="107" spans="1:15">
      <c r="A107" s="19">
        <f t="shared" si="1"/>
        <v>104</v>
      </c>
      <c r="B107" s="71">
        <v>45994</v>
      </c>
      <c r="C107" s="54">
        <v>375</v>
      </c>
      <c r="D107" s="65" t="s">
        <v>110</v>
      </c>
      <c r="E107" s="63">
        <v>24000</v>
      </c>
      <c r="F107" s="67">
        <v>1000000</v>
      </c>
      <c r="G107" s="125" t="s">
        <v>230</v>
      </c>
      <c r="H107" s="122">
        <v>0</v>
      </c>
      <c r="I107" s="122">
        <v>0</v>
      </c>
      <c r="J107" s="135">
        <v>0</v>
      </c>
      <c r="K107" s="70">
        <v>0</v>
      </c>
      <c r="L107" s="68" t="s">
        <v>239</v>
      </c>
      <c r="M107" s="57" t="s">
        <v>240</v>
      </c>
      <c r="N107" s="69"/>
      <c r="O107" s="18"/>
    </row>
    <row r="108" spans="1:15">
      <c r="A108" s="19">
        <f t="shared" si="1"/>
        <v>105</v>
      </c>
      <c r="B108" s="71">
        <v>45965</v>
      </c>
      <c r="C108" s="70">
        <v>486</v>
      </c>
      <c r="D108" s="72" t="s">
        <v>131</v>
      </c>
      <c r="E108" s="66">
        <v>26000</v>
      </c>
      <c r="F108" s="73">
        <f>40000+50000</f>
        <v>90000</v>
      </c>
      <c r="G108" s="126" t="s">
        <v>171</v>
      </c>
      <c r="H108" s="122">
        <v>0</v>
      </c>
      <c r="I108" s="122">
        <v>0</v>
      </c>
      <c r="J108" s="135">
        <v>0</v>
      </c>
      <c r="K108" s="70">
        <v>0</v>
      </c>
      <c r="L108" s="68" t="s">
        <v>241</v>
      </c>
      <c r="M108" s="61" t="s">
        <v>242</v>
      </c>
      <c r="N108" s="69">
        <v>45980</v>
      </c>
      <c r="O108" s="18"/>
    </row>
    <row r="109" spans="1:15">
      <c r="A109" s="19">
        <f t="shared" si="1"/>
        <v>106</v>
      </c>
      <c r="B109" s="71" t="s">
        <v>243</v>
      </c>
      <c r="C109" s="70">
        <v>486</v>
      </c>
      <c r="D109" s="72" t="s">
        <v>131</v>
      </c>
      <c r="E109" s="66">
        <v>26000</v>
      </c>
      <c r="F109" s="73">
        <v>60000</v>
      </c>
      <c r="G109" s="126" t="s">
        <v>171</v>
      </c>
      <c r="H109" s="122">
        <v>0</v>
      </c>
      <c r="I109" s="122">
        <v>0</v>
      </c>
      <c r="J109" s="135">
        <v>0</v>
      </c>
      <c r="K109" s="70">
        <v>0</v>
      </c>
      <c r="L109" s="68" t="s">
        <v>244</v>
      </c>
      <c r="M109" s="61" t="s">
        <v>245</v>
      </c>
      <c r="N109" s="69"/>
      <c r="O109" s="18"/>
    </row>
    <row r="110" spans="1:15">
      <c r="A110" s="19">
        <f t="shared" si="1"/>
        <v>107</v>
      </c>
      <c r="B110" s="71" t="s">
        <v>52</v>
      </c>
      <c r="C110" s="70">
        <v>486</v>
      </c>
      <c r="D110" s="72" t="s">
        <v>131</v>
      </c>
      <c r="E110" s="66">
        <v>26000</v>
      </c>
      <c r="F110" s="73">
        <v>95000</v>
      </c>
      <c r="G110" s="126" t="s">
        <v>171</v>
      </c>
      <c r="H110" s="122">
        <v>0</v>
      </c>
      <c r="I110" s="122">
        <v>0</v>
      </c>
      <c r="J110" s="135">
        <v>0</v>
      </c>
      <c r="K110" s="70">
        <v>0</v>
      </c>
      <c r="L110" s="68" t="s">
        <v>246</v>
      </c>
      <c r="M110" s="61" t="s">
        <v>247</v>
      </c>
      <c r="N110" s="69"/>
      <c r="O110" s="18"/>
    </row>
    <row r="111" spans="1:15">
      <c r="A111" s="19">
        <f t="shared" si="1"/>
        <v>108</v>
      </c>
      <c r="B111" s="71" t="s">
        <v>248</v>
      </c>
      <c r="C111" s="70">
        <v>486</v>
      </c>
      <c r="D111" s="72" t="s">
        <v>131</v>
      </c>
      <c r="E111" s="66">
        <v>26000</v>
      </c>
      <c r="F111" s="73">
        <v>95000</v>
      </c>
      <c r="G111" s="126" t="s">
        <v>171</v>
      </c>
      <c r="H111" s="122">
        <v>0</v>
      </c>
      <c r="I111" s="122">
        <v>0</v>
      </c>
      <c r="J111" s="135">
        <v>0</v>
      </c>
      <c r="K111" s="70">
        <v>0</v>
      </c>
      <c r="L111" s="68" t="s">
        <v>249</v>
      </c>
      <c r="M111" s="61" t="s">
        <v>250</v>
      </c>
      <c r="N111" s="69"/>
      <c r="O111" s="18"/>
    </row>
    <row r="112" spans="1:15">
      <c r="A112" s="19">
        <f t="shared" si="1"/>
        <v>109</v>
      </c>
      <c r="B112" s="71" t="s">
        <v>251</v>
      </c>
      <c r="C112" s="70">
        <v>486</v>
      </c>
      <c r="D112" s="72" t="s">
        <v>131</v>
      </c>
      <c r="E112" s="66">
        <v>26000</v>
      </c>
      <c r="F112" s="73">
        <v>95000</v>
      </c>
      <c r="G112" s="126" t="s">
        <v>171</v>
      </c>
      <c r="H112" s="122">
        <v>0</v>
      </c>
      <c r="I112" s="122">
        <v>0</v>
      </c>
      <c r="J112" s="135">
        <v>0</v>
      </c>
      <c r="K112" s="70">
        <v>0</v>
      </c>
      <c r="L112" s="68" t="s">
        <v>252</v>
      </c>
      <c r="M112" s="61" t="s">
        <v>253</v>
      </c>
      <c r="N112" s="69"/>
      <c r="O112" s="18"/>
    </row>
    <row r="113" spans="1:15">
      <c r="A113" s="19">
        <f t="shared" si="1"/>
        <v>110</v>
      </c>
      <c r="B113" s="71" t="s">
        <v>254</v>
      </c>
      <c r="C113" s="70">
        <v>486</v>
      </c>
      <c r="D113" s="72" t="s">
        <v>131</v>
      </c>
      <c r="E113" s="66">
        <v>26000</v>
      </c>
      <c r="F113" s="73">
        <v>65000</v>
      </c>
      <c r="G113" s="126" t="s">
        <v>171</v>
      </c>
      <c r="H113" s="122">
        <v>0</v>
      </c>
      <c r="I113" s="122">
        <v>0</v>
      </c>
      <c r="J113" s="135">
        <v>0</v>
      </c>
      <c r="K113" s="70">
        <v>0</v>
      </c>
      <c r="L113" s="48" t="s">
        <v>255</v>
      </c>
      <c r="M113" s="61" t="s">
        <v>256</v>
      </c>
      <c r="N113" s="69"/>
      <c r="O113" s="18"/>
    </row>
    <row r="114" spans="1:15" ht="30">
      <c r="A114" s="19">
        <f t="shared" si="1"/>
        <v>111</v>
      </c>
      <c r="B114" s="71" t="s">
        <v>257</v>
      </c>
      <c r="C114" s="70">
        <v>487</v>
      </c>
      <c r="D114" s="75" t="s">
        <v>131</v>
      </c>
      <c r="E114" s="76">
        <v>26500</v>
      </c>
      <c r="F114" s="73">
        <v>50000</v>
      </c>
      <c r="G114" s="126" t="s">
        <v>258</v>
      </c>
      <c r="H114" s="122">
        <v>0</v>
      </c>
      <c r="I114" s="122">
        <v>0</v>
      </c>
      <c r="J114" s="135">
        <v>0</v>
      </c>
      <c r="K114" s="70">
        <v>0</v>
      </c>
      <c r="L114" s="68" t="s">
        <v>259</v>
      </c>
      <c r="M114" s="61" t="s">
        <v>260</v>
      </c>
      <c r="N114" s="69">
        <v>45990</v>
      </c>
      <c r="O114" s="77" t="s">
        <v>261</v>
      </c>
    </row>
    <row r="115" spans="1:15">
      <c r="A115" s="19">
        <f t="shared" si="1"/>
        <v>112</v>
      </c>
      <c r="B115" s="71">
        <v>45995</v>
      </c>
      <c r="C115" s="70">
        <v>487</v>
      </c>
      <c r="D115" s="75" t="s">
        <v>131</v>
      </c>
      <c r="E115" s="76">
        <v>26500</v>
      </c>
      <c r="F115" s="73">
        <v>999976.4</v>
      </c>
      <c r="G115" s="126" t="s">
        <v>258</v>
      </c>
      <c r="H115" s="122">
        <v>0</v>
      </c>
      <c r="I115" s="122">
        <v>0</v>
      </c>
      <c r="J115" s="135">
        <v>0</v>
      </c>
      <c r="K115" s="70">
        <v>0</v>
      </c>
      <c r="L115" s="68" t="s">
        <v>262</v>
      </c>
      <c r="M115" s="57" t="s">
        <v>263</v>
      </c>
      <c r="N115" s="69"/>
      <c r="O115" s="77"/>
    </row>
    <row r="116" spans="1:15">
      <c r="A116" s="19">
        <f t="shared" si="1"/>
        <v>113</v>
      </c>
      <c r="B116" s="71">
        <v>45965</v>
      </c>
      <c r="C116" s="78">
        <v>621</v>
      </c>
      <c r="D116" s="72" t="s">
        <v>264</v>
      </c>
      <c r="E116" s="66">
        <v>26000</v>
      </c>
      <c r="F116" s="67">
        <v>10116</v>
      </c>
      <c r="G116" s="126" t="s">
        <v>265</v>
      </c>
      <c r="H116" s="122">
        <v>0</v>
      </c>
      <c r="I116" s="122">
        <v>0</v>
      </c>
      <c r="J116" s="135">
        <v>0</v>
      </c>
      <c r="K116" s="70" t="s">
        <v>60</v>
      </c>
      <c r="L116" s="68">
        <v>0</v>
      </c>
      <c r="M116" s="79">
        <v>0</v>
      </c>
      <c r="N116" s="69">
        <v>45980</v>
      </c>
      <c r="O116" s="18" t="s">
        <v>266</v>
      </c>
    </row>
    <row r="117" spans="1:15">
      <c r="A117" s="19">
        <f t="shared" si="1"/>
        <v>114</v>
      </c>
      <c r="B117" s="71">
        <v>45970</v>
      </c>
      <c r="C117" s="78">
        <v>621</v>
      </c>
      <c r="D117" s="72" t="s">
        <v>264</v>
      </c>
      <c r="E117" s="66">
        <v>26000</v>
      </c>
      <c r="F117" s="67">
        <v>90000</v>
      </c>
      <c r="G117" s="126" t="s">
        <v>265</v>
      </c>
      <c r="H117" s="122">
        <v>0</v>
      </c>
      <c r="I117" s="122">
        <v>0</v>
      </c>
      <c r="J117" s="135">
        <v>0</v>
      </c>
      <c r="K117" s="70" t="s">
        <v>60</v>
      </c>
      <c r="L117" s="68">
        <v>0</v>
      </c>
      <c r="M117" s="80" t="s">
        <v>267</v>
      </c>
      <c r="N117" s="69"/>
      <c r="O117" s="18"/>
    </row>
    <row r="118" spans="1:15">
      <c r="A118" s="19">
        <f t="shared" si="1"/>
        <v>115</v>
      </c>
      <c r="B118" s="71">
        <v>45988</v>
      </c>
      <c r="C118" s="78">
        <v>621</v>
      </c>
      <c r="D118" s="72" t="s">
        <v>264</v>
      </c>
      <c r="E118" s="66">
        <v>26000</v>
      </c>
      <c r="F118" s="67">
        <v>50000</v>
      </c>
      <c r="G118" s="126" t="s">
        <v>265</v>
      </c>
      <c r="H118" s="122">
        <v>0</v>
      </c>
      <c r="I118" s="122">
        <v>0</v>
      </c>
      <c r="J118" s="135">
        <v>0</v>
      </c>
      <c r="K118" s="70">
        <v>0</v>
      </c>
      <c r="L118" s="68" t="s">
        <v>268</v>
      </c>
      <c r="M118" s="80" t="s">
        <v>269</v>
      </c>
      <c r="N118" s="69"/>
      <c r="O118" s="18"/>
    </row>
    <row r="119" spans="1:15">
      <c r="A119" s="19">
        <f t="shared" si="1"/>
        <v>116</v>
      </c>
      <c r="B119" s="71">
        <v>45988</v>
      </c>
      <c r="C119" s="78">
        <v>621</v>
      </c>
      <c r="D119" s="72" t="s">
        <v>264</v>
      </c>
      <c r="E119" s="66">
        <v>26000</v>
      </c>
      <c r="F119" s="67">
        <v>100000</v>
      </c>
      <c r="G119" s="126" t="s">
        <v>265</v>
      </c>
      <c r="H119" s="122">
        <v>0</v>
      </c>
      <c r="I119" s="122">
        <v>0</v>
      </c>
      <c r="J119" s="135">
        <v>0</v>
      </c>
      <c r="K119" s="70">
        <v>0</v>
      </c>
      <c r="L119" s="68" t="s">
        <v>270</v>
      </c>
      <c r="M119" s="80" t="s">
        <v>271</v>
      </c>
      <c r="N119" s="69"/>
      <c r="O119" s="18"/>
    </row>
    <row r="120" spans="1:15">
      <c r="A120" s="19">
        <f t="shared" si="1"/>
        <v>117</v>
      </c>
      <c r="B120" s="71">
        <v>45989</v>
      </c>
      <c r="C120" s="78">
        <v>621</v>
      </c>
      <c r="D120" s="72" t="s">
        <v>264</v>
      </c>
      <c r="E120" s="66">
        <v>26000</v>
      </c>
      <c r="F120" s="67">
        <v>300000</v>
      </c>
      <c r="G120" s="126" t="s">
        <v>265</v>
      </c>
      <c r="H120" s="122">
        <v>0</v>
      </c>
      <c r="I120" s="122">
        <v>0</v>
      </c>
      <c r="J120" s="135">
        <v>0</v>
      </c>
      <c r="K120" s="70">
        <v>0</v>
      </c>
      <c r="L120" s="68" t="s">
        <v>272</v>
      </c>
      <c r="M120" s="80" t="s">
        <v>273</v>
      </c>
      <c r="N120" s="69"/>
      <c r="O120" s="18"/>
    </row>
    <row r="121" spans="1:15">
      <c r="A121" s="19">
        <f t="shared" si="1"/>
        <v>118</v>
      </c>
      <c r="B121" s="71">
        <v>45994</v>
      </c>
      <c r="C121" s="78">
        <v>621</v>
      </c>
      <c r="D121" s="72" t="s">
        <v>264</v>
      </c>
      <c r="E121" s="66">
        <v>26000</v>
      </c>
      <c r="F121" s="67">
        <v>100000</v>
      </c>
      <c r="G121" s="126" t="s">
        <v>265</v>
      </c>
      <c r="H121" s="122">
        <v>0</v>
      </c>
      <c r="I121" s="122">
        <v>0</v>
      </c>
      <c r="J121" s="135">
        <v>0</v>
      </c>
      <c r="K121" s="70">
        <v>0</v>
      </c>
      <c r="L121" s="68" t="s">
        <v>274</v>
      </c>
      <c r="M121" s="80" t="s">
        <v>275</v>
      </c>
      <c r="N121" s="69"/>
      <c r="O121" s="18"/>
    </row>
    <row r="122" spans="1:15">
      <c r="A122" s="19">
        <f t="shared" si="1"/>
        <v>119</v>
      </c>
      <c r="B122" s="71">
        <v>45996</v>
      </c>
      <c r="C122" s="78">
        <v>621</v>
      </c>
      <c r="D122" s="72" t="s">
        <v>264</v>
      </c>
      <c r="E122" s="66">
        <v>26000</v>
      </c>
      <c r="F122" s="67">
        <v>500000</v>
      </c>
      <c r="G122" s="126" t="s">
        <v>265</v>
      </c>
      <c r="H122" s="122">
        <v>0</v>
      </c>
      <c r="I122" s="122">
        <v>0</v>
      </c>
      <c r="J122" s="135">
        <v>0</v>
      </c>
      <c r="K122" s="70">
        <v>0</v>
      </c>
      <c r="L122" s="68" t="s">
        <v>276</v>
      </c>
      <c r="M122" s="80" t="s">
        <v>277</v>
      </c>
      <c r="N122" s="69"/>
      <c r="O122" s="18" t="s">
        <v>278</v>
      </c>
    </row>
    <row r="123" spans="1:15">
      <c r="A123" s="19">
        <f t="shared" si="1"/>
        <v>120</v>
      </c>
      <c r="B123" s="71">
        <v>45969</v>
      </c>
      <c r="C123" s="70">
        <v>483</v>
      </c>
      <c r="D123" s="75" t="s">
        <v>131</v>
      </c>
      <c r="E123" s="66">
        <v>26000</v>
      </c>
      <c r="F123" s="67">
        <f>200000</f>
        <v>200000</v>
      </c>
      <c r="G123" s="127" t="s">
        <v>279</v>
      </c>
      <c r="H123" s="141" t="s">
        <v>414</v>
      </c>
      <c r="I123" s="122">
        <v>0</v>
      </c>
      <c r="J123" s="135">
        <v>0</v>
      </c>
      <c r="K123" s="70">
        <v>0</v>
      </c>
      <c r="L123" s="68" t="s">
        <v>280</v>
      </c>
      <c r="M123" s="80" t="s">
        <v>281</v>
      </c>
      <c r="N123" s="69">
        <v>45984</v>
      </c>
      <c r="O123" s="18"/>
    </row>
    <row r="124" spans="1:15">
      <c r="A124" s="19">
        <f t="shared" si="1"/>
        <v>121</v>
      </c>
      <c r="B124" s="71">
        <v>45993</v>
      </c>
      <c r="C124" s="70">
        <v>483</v>
      </c>
      <c r="D124" s="75" t="s">
        <v>131</v>
      </c>
      <c r="E124" s="66">
        <v>26000</v>
      </c>
      <c r="F124" s="67">
        <v>136160</v>
      </c>
      <c r="G124" s="127" t="s">
        <v>279</v>
      </c>
      <c r="H124" s="141" t="s">
        <v>414</v>
      </c>
      <c r="I124" s="122">
        <v>0</v>
      </c>
      <c r="J124" s="135">
        <v>0</v>
      </c>
      <c r="K124" s="70">
        <v>0</v>
      </c>
      <c r="L124" s="68" t="s">
        <v>282</v>
      </c>
      <c r="M124" s="80" t="s">
        <v>283</v>
      </c>
      <c r="N124" s="69"/>
      <c r="O124" s="18"/>
    </row>
    <row r="125" spans="1:15">
      <c r="A125" s="19">
        <f t="shared" si="1"/>
        <v>122</v>
      </c>
      <c r="B125" s="71">
        <v>45995</v>
      </c>
      <c r="C125" s="70">
        <v>483</v>
      </c>
      <c r="D125" s="75" t="s">
        <v>131</v>
      </c>
      <c r="E125" s="66">
        <v>26000</v>
      </c>
      <c r="F125" s="67">
        <v>350000</v>
      </c>
      <c r="G125" s="127" t="s">
        <v>279</v>
      </c>
      <c r="H125" s="141" t="s">
        <v>414</v>
      </c>
      <c r="I125" s="122">
        <v>0</v>
      </c>
      <c r="J125" s="135">
        <v>0</v>
      </c>
      <c r="K125" s="70" t="s">
        <v>60</v>
      </c>
      <c r="L125" s="68">
        <v>0</v>
      </c>
      <c r="M125" s="80" t="s">
        <v>284</v>
      </c>
      <c r="N125" s="69"/>
      <c r="O125" s="18"/>
    </row>
    <row r="126" spans="1:15">
      <c r="A126" s="19">
        <f t="shared" si="1"/>
        <v>123</v>
      </c>
      <c r="B126" s="71" t="s">
        <v>285</v>
      </c>
      <c r="C126" s="70">
        <v>483</v>
      </c>
      <c r="D126" s="75" t="s">
        <v>131</v>
      </c>
      <c r="E126" s="66">
        <v>26000</v>
      </c>
      <c r="F126" s="67">
        <v>300000</v>
      </c>
      <c r="G126" s="127" t="s">
        <v>279</v>
      </c>
      <c r="H126" s="141" t="s">
        <v>414</v>
      </c>
      <c r="I126" s="122">
        <v>0</v>
      </c>
      <c r="J126" s="135">
        <v>0</v>
      </c>
      <c r="K126" s="70" t="s">
        <v>60</v>
      </c>
      <c r="L126" s="68">
        <v>0</v>
      </c>
      <c r="M126" s="80" t="s">
        <v>286</v>
      </c>
      <c r="N126" s="69"/>
      <c r="O126" s="18"/>
    </row>
    <row r="127" spans="1:15">
      <c r="A127" s="19">
        <f t="shared" si="1"/>
        <v>124</v>
      </c>
      <c r="B127" s="71">
        <v>45971</v>
      </c>
      <c r="C127" s="81">
        <v>526</v>
      </c>
      <c r="D127" s="75" t="s">
        <v>131</v>
      </c>
      <c r="E127" s="76">
        <v>26200</v>
      </c>
      <c r="F127" s="67">
        <v>36000</v>
      </c>
      <c r="G127" s="127" t="s">
        <v>287</v>
      </c>
      <c r="H127" s="141" t="s">
        <v>415</v>
      </c>
      <c r="I127" s="68" t="s">
        <v>416</v>
      </c>
      <c r="J127" s="135">
        <v>0</v>
      </c>
      <c r="K127" s="70" t="s">
        <v>60</v>
      </c>
      <c r="L127" s="68">
        <v>0</v>
      </c>
      <c r="M127" s="80" t="s">
        <v>288</v>
      </c>
      <c r="N127" s="69">
        <v>45986</v>
      </c>
      <c r="O127" s="18"/>
    </row>
    <row r="128" spans="1:15">
      <c r="A128" s="19">
        <f t="shared" si="1"/>
        <v>125</v>
      </c>
      <c r="B128" s="71">
        <v>45973</v>
      </c>
      <c r="C128" s="81">
        <v>526</v>
      </c>
      <c r="D128" s="75" t="s">
        <v>131</v>
      </c>
      <c r="E128" s="76">
        <v>26200</v>
      </c>
      <c r="F128" s="67">
        <v>64000</v>
      </c>
      <c r="G128" s="127" t="s">
        <v>287</v>
      </c>
      <c r="H128" s="141" t="s">
        <v>415</v>
      </c>
      <c r="I128" s="68" t="s">
        <v>416</v>
      </c>
      <c r="J128" s="135">
        <v>0</v>
      </c>
      <c r="K128" s="70">
        <v>0</v>
      </c>
      <c r="L128" s="68" t="s">
        <v>289</v>
      </c>
      <c r="M128" s="80" t="s">
        <v>290</v>
      </c>
      <c r="N128" s="69"/>
      <c r="O128" s="18"/>
    </row>
    <row r="129" spans="1:15">
      <c r="A129" s="19">
        <f t="shared" si="1"/>
        <v>126</v>
      </c>
      <c r="B129" s="71">
        <v>45994</v>
      </c>
      <c r="C129" s="81">
        <v>526</v>
      </c>
      <c r="D129" s="75" t="s">
        <v>131</v>
      </c>
      <c r="E129" s="76">
        <v>26200</v>
      </c>
      <c r="F129" s="67">
        <v>152078</v>
      </c>
      <c r="G129" s="127" t="s">
        <v>287</v>
      </c>
      <c r="H129" s="141" t="s">
        <v>415</v>
      </c>
      <c r="I129" s="68" t="s">
        <v>416</v>
      </c>
      <c r="J129" s="135">
        <v>0</v>
      </c>
      <c r="K129" s="70">
        <v>0</v>
      </c>
      <c r="L129" s="68" t="s">
        <v>291</v>
      </c>
      <c r="M129" s="80" t="s">
        <v>292</v>
      </c>
      <c r="N129" s="69"/>
      <c r="O129" s="18"/>
    </row>
    <row r="130" spans="1:15">
      <c r="A130" s="19">
        <f t="shared" si="1"/>
        <v>127</v>
      </c>
      <c r="B130" s="71">
        <v>45996</v>
      </c>
      <c r="C130" s="81">
        <v>526</v>
      </c>
      <c r="D130" s="75" t="s">
        <v>131</v>
      </c>
      <c r="E130" s="76">
        <v>26200</v>
      </c>
      <c r="F130" s="67">
        <v>100000</v>
      </c>
      <c r="G130" s="127" t="s">
        <v>287</v>
      </c>
      <c r="H130" s="141" t="s">
        <v>415</v>
      </c>
      <c r="I130" s="68" t="s">
        <v>416</v>
      </c>
      <c r="J130" s="135">
        <v>0</v>
      </c>
      <c r="K130" s="70">
        <v>0</v>
      </c>
      <c r="L130" s="68" t="s">
        <v>293</v>
      </c>
      <c r="M130" s="80" t="s">
        <v>294</v>
      </c>
      <c r="N130" s="69"/>
      <c r="O130" s="18"/>
    </row>
    <row r="131" spans="1:15">
      <c r="A131" s="19">
        <f t="shared" si="1"/>
        <v>128</v>
      </c>
      <c r="B131" s="71">
        <v>45997</v>
      </c>
      <c r="C131" s="81">
        <v>526</v>
      </c>
      <c r="D131" s="75" t="s">
        <v>131</v>
      </c>
      <c r="E131" s="76">
        <v>26200</v>
      </c>
      <c r="F131" s="67">
        <v>848930</v>
      </c>
      <c r="G131" s="127" t="s">
        <v>287</v>
      </c>
      <c r="H131" s="141" t="s">
        <v>415</v>
      </c>
      <c r="I131" s="68" t="s">
        <v>416</v>
      </c>
      <c r="J131" s="135">
        <v>0</v>
      </c>
      <c r="K131" s="70" t="s">
        <v>47</v>
      </c>
      <c r="L131" s="68">
        <v>0</v>
      </c>
      <c r="M131" s="80"/>
      <c r="N131" s="69"/>
      <c r="O131" s="18"/>
    </row>
    <row r="132" spans="1:15">
      <c r="A132" s="19">
        <f t="shared" si="1"/>
        <v>129</v>
      </c>
      <c r="B132" s="71">
        <v>45971</v>
      </c>
      <c r="C132" s="81">
        <v>578</v>
      </c>
      <c r="D132" s="75" t="s">
        <v>295</v>
      </c>
      <c r="E132" s="66">
        <v>26000</v>
      </c>
      <c r="F132" s="67">
        <v>50000</v>
      </c>
      <c r="G132" s="127" t="s">
        <v>296</v>
      </c>
      <c r="H132" s="141" t="s">
        <v>417</v>
      </c>
      <c r="I132" s="68" t="s">
        <v>418</v>
      </c>
      <c r="J132" s="135">
        <v>0</v>
      </c>
      <c r="K132" s="70">
        <v>0</v>
      </c>
      <c r="L132" s="68" t="s">
        <v>297</v>
      </c>
      <c r="M132" s="80" t="s">
        <v>298</v>
      </c>
      <c r="N132" s="69">
        <v>45986</v>
      </c>
      <c r="O132" s="18"/>
    </row>
    <row r="133" spans="1:15">
      <c r="A133" s="19">
        <f t="shared" si="1"/>
        <v>130</v>
      </c>
      <c r="B133" s="71">
        <v>45994</v>
      </c>
      <c r="C133" s="81">
        <v>578</v>
      </c>
      <c r="D133" s="75" t="s">
        <v>295</v>
      </c>
      <c r="E133" s="66">
        <v>26000</v>
      </c>
      <c r="F133" s="67">
        <v>155961</v>
      </c>
      <c r="G133" s="127" t="s">
        <v>296</v>
      </c>
      <c r="H133" s="141" t="s">
        <v>417</v>
      </c>
      <c r="I133" s="68" t="s">
        <v>418</v>
      </c>
      <c r="J133" s="135">
        <v>0</v>
      </c>
      <c r="K133" s="70">
        <v>0</v>
      </c>
      <c r="L133" s="68" t="s">
        <v>299</v>
      </c>
      <c r="M133" s="80" t="s">
        <v>300</v>
      </c>
      <c r="N133" s="69"/>
      <c r="O133" s="18"/>
    </row>
    <row r="134" spans="1:15">
      <c r="A134" s="19">
        <f t="shared" ref="A134:A174" si="2">A133+1</f>
        <v>131</v>
      </c>
      <c r="B134" s="71">
        <v>45994</v>
      </c>
      <c r="C134" s="81">
        <v>578</v>
      </c>
      <c r="D134" s="75" t="s">
        <v>295</v>
      </c>
      <c r="E134" s="66">
        <v>26000</v>
      </c>
      <c r="F134" s="67">
        <v>767674</v>
      </c>
      <c r="G134" s="127" t="s">
        <v>296</v>
      </c>
      <c r="H134" s="141" t="s">
        <v>417</v>
      </c>
      <c r="I134" s="68" t="s">
        <v>418</v>
      </c>
      <c r="J134" s="135">
        <v>0</v>
      </c>
      <c r="K134" s="70" t="s">
        <v>60</v>
      </c>
      <c r="L134" s="68">
        <v>0</v>
      </c>
      <c r="M134" s="80" t="s">
        <v>301</v>
      </c>
      <c r="N134" s="69"/>
      <c r="O134" s="18"/>
    </row>
    <row r="135" spans="1:15">
      <c r="A135" s="19">
        <f t="shared" si="2"/>
        <v>132</v>
      </c>
      <c r="B135" s="71">
        <v>45971</v>
      </c>
      <c r="C135" s="81">
        <v>488</v>
      </c>
      <c r="D135" s="75" t="s">
        <v>302</v>
      </c>
      <c r="E135" s="66">
        <v>26000</v>
      </c>
      <c r="F135" s="67">
        <v>50000</v>
      </c>
      <c r="G135" s="120" t="s">
        <v>21</v>
      </c>
      <c r="H135" s="134" t="s">
        <v>386</v>
      </c>
      <c r="I135" s="30" t="s">
        <v>387</v>
      </c>
      <c r="J135" s="135">
        <v>0</v>
      </c>
      <c r="K135" s="70">
        <v>0</v>
      </c>
      <c r="L135" s="68" t="s">
        <v>303</v>
      </c>
      <c r="M135" s="80" t="s">
        <v>304</v>
      </c>
      <c r="N135" s="69">
        <v>45986</v>
      </c>
      <c r="O135" s="18"/>
    </row>
    <row r="136" spans="1:15">
      <c r="A136" s="19">
        <f t="shared" si="2"/>
        <v>133</v>
      </c>
      <c r="B136" s="71">
        <v>45972</v>
      </c>
      <c r="C136" s="81">
        <v>488</v>
      </c>
      <c r="D136" s="75" t="s">
        <v>302</v>
      </c>
      <c r="E136" s="66">
        <v>26000</v>
      </c>
      <c r="F136" s="73">
        <v>150000</v>
      </c>
      <c r="G136" s="120" t="s">
        <v>21</v>
      </c>
      <c r="H136" s="134" t="s">
        <v>386</v>
      </c>
      <c r="I136" s="30" t="s">
        <v>387</v>
      </c>
      <c r="J136" s="135">
        <v>0</v>
      </c>
      <c r="K136" s="70">
        <v>0</v>
      </c>
      <c r="L136" s="68" t="s">
        <v>305</v>
      </c>
      <c r="M136" s="80" t="s">
        <v>306</v>
      </c>
      <c r="N136" s="69"/>
      <c r="O136" s="18"/>
    </row>
    <row r="137" spans="1:15">
      <c r="A137" s="19">
        <f t="shared" si="2"/>
        <v>134</v>
      </c>
      <c r="B137" s="71">
        <v>45974</v>
      </c>
      <c r="C137" s="81">
        <v>488</v>
      </c>
      <c r="D137" s="75" t="s">
        <v>302</v>
      </c>
      <c r="E137" s="66">
        <v>26000</v>
      </c>
      <c r="F137" s="73">
        <v>441923</v>
      </c>
      <c r="G137" s="120" t="s">
        <v>21</v>
      </c>
      <c r="H137" s="134" t="s">
        <v>386</v>
      </c>
      <c r="I137" s="30" t="s">
        <v>387</v>
      </c>
      <c r="J137" s="135">
        <v>0</v>
      </c>
      <c r="K137" s="70">
        <v>0</v>
      </c>
      <c r="L137" s="68" t="s">
        <v>307</v>
      </c>
      <c r="M137" s="80" t="s">
        <v>308</v>
      </c>
      <c r="N137" s="69"/>
      <c r="O137" s="18"/>
    </row>
    <row r="138" spans="1:15">
      <c r="A138" s="19">
        <f t="shared" si="2"/>
        <v>135</v>
      </c>
      <c r="B138" s="71">
        <v>45980</v>
      </c>
      <c r="C138" s="81">
        <v>488</v>
      </c>
      <c r="D138" s="75" t="s">
        <v>302</v>
      </c>
      <c r="E138" s="66">
        <v>26000</v>
      </c>
      <c r="F138" s="73">
        <v>1000000</v>
      </c>
      <c r="G138" s="120" t="s">
        <v>21</v>
      </c>
      <c r="H138" s="134" t="s">
        <v>386</v>
      </c>
      <c r="I138" s="30" t="s">
        <v>387</v>
      </c>
      <c r="J138" s="135">
        <v>0</v>
      </c>
      <c r="K138" s="70" t="s">
        <v>47</v>
      </c>
      <c r="L138" s="68">
        <v>0</v>
      </c>
      <c r="M138" s="80" t="s">
        <v>309</v>
      </c>
      <c r="N138" s="69"/>
      <c r="O138" s="18"/>
    </row>
    <row r="139" spans="1:15">
      <c r="A139" s="19">
        <f t="shared" si="2"/>
        <v>136</v>
      </c>
      <c r="B139" s="71">
        <v>45980</v>
      </c>
      <c r="C139" s="81">
        <v>488</v>
      </c>
      <c r="D139" s="75" t="s">
        <v>302</v>
      </c>
      <c r="E139" s="66">
        <v>26000</v>
      </c>
      <c r="F139" s="73">
        <v>1000000</v>
      </c>
      <c r="G139" s="120" t="s">
        <v>21</v>
      </c>
      <c r="H139" s="134" t="s">
        <v>386</v>
      </c>
      <c r="I139" s="30" t="s">
        <v>387</v>
      </c>
      <c r="J139" s="135">
        <v>0</v>
      </c>
      <c r="K139" s="70" t="s">
        <v>47</v>
      </c>
      <c r="L139" s="68">
        <v>0</v>
      </c>
      <c r="M139" s="80" t="s">
        <v>310</v>
      </c>
      <c r="N139" s="69"/>
      <c r="O139" s="18"/>
    </row>
    <row r="140" spans="1:15">
      <c r="A140" s="19">
        <f t="shared" si="2"/>
        <v>137</v>
      </c>
      <c r="B140" s="71">
        <v>45980</v>
      </c>
      <c r="C140" s="81">
        <v>488</v>
      </c>
      <c r="D140" s="75" t="s">
        <v>302</v>
      </c>
      <c r="E140" s="66">
        <v>26000</v>
      </c>
      <c r="F140" s="73">
        <v>392650</v>
      </c>
      <c r="G140" s="120" t="s">
        <v>21</v>
      </c>
      <c r="H140" s="134" t="s">
        <v>386</v>
      </c>
      <c r="I140" s="30" t="s">
        <v>387</v>
      </c>
      <c r="J140" s="135">
        <v>0</v>
      </c>
      <c r="K140" s="70" t="s">
        <v>47</v>
      </c>
      <c r="L140" s="68">
        <v>0</v>
      </c>
      <c r="M140" s="80" t="s">
        <v>311</v>
      </c>
      <c r="N140" s="69"/>
      <c r="O140" s="18"/>
    </row>
    <row r="141" spans="1:15" ht="24">
      <c r="A141" s="19">
        <f t="shared" si="2"/>
        <v>138</v>
      </c>
      <c r="B141" s="71">
        <v>45971</v>
      </c>
      <c r="C141" s="82">
        <v>143</v>
      </c>
      <c r="D141" s="75">
        <v>300.79000000000002</v>
      </c>
      <c r="E141" s="76">
        <v>18903.5</v>
      </c>
      <c r="F141" s="67">
        <v>1000000</v>
      </c>
      <c r="G141" s="126" t="s">
        <v>312</v>
      </c>
      <c r="H141" s="126">
        <v>0</v>
      </c>
      <c r="I141" s="126">
        <v>0</v>
      </c>
      <c r="J141" s="74" t="s">
        <v>420</v>
      </c>
      <c r="K141" s="70">
        <v>0</v>
      </c>
      <c r="L141" s="68" t="s">
        <v>313</v>
      </c>
      <c r="M141" s="83" t="s">
        <v>314</v>
      </c>
      <c r="N141" s="69">
        <v>45987</v>
      </c>
      <c r="O141" s="18" t="s">
        <v>315</v>
      </c>
    </row>
    <row r="142" spans="1:15" ht="24">
      <c r="A142" s="19">
        <f t="shared" si="2"/>
        <v>139</v>
      </c>
      <c r="B142" s="71">
        <v>45971</v>
      </c>
      <c r="C142" s="82">
        <v>143</v>
      </c>
      <c r="D142" s="75">
        <v>300.79000000000002</v>
      </c>
      <c r="E142" s="76">
        <v>18903.5</v>
      </c>
      <c r="F142" s="67">
        <v>1000000</v>
      </c>
      <c r="G142" s="126" t="s">
        <v>312</v>
      </c>
      <c r="H142" s="126">
        <v>0</v>
      </c>
      <c r="I142" s="126">
        <v>0</v>
      </c>
      <c r="J142" s="74" t="s">
        <v>420</v>
      </c>
      <c r="K142" s="70">
        <v>0</v>
      </c>
      <c r="L142" s="68" t="s">
        <v>316</v>
      </c>
      <c r="M142" s="83" t="s">
        <v>317</v>
      </c>
      <c r="N142" s="69"/>
      <c r="O142" s="18" t="s">
        <v>318</v>
      </c>
    </row>
    <row r="143" spans="1:15" ht="24">
      <c r="A143" s="19">
        <f t="shared" si="2"/>
        <v>140</v>
      </c>
      <c r="B143" s="71">
        <v>45971</v>
      </c>
      <c r="C143" s="82">
        <v>143</v>
      </c>
      <c r="D143" s="75">
        <v>300.79000000000002</v>
      </c>
      <c r="E143" s="76">
        <v>18903.5</v>
      </c>
      <c r="F143" s="67">
        <v>1000000</v>
      </c>
      <c r="G143" s="126" t="s">
        <v>312</v>
      </c>
      <c r="H143" s="126">
        <v>0</v>
      </c>
      <c r="I143" s="126">
        <v>0</v>
      </c>
      <c r="J143" s="74" t="s">
        <v>420</v>
      </c>
      <c r="K143" s="70">
        <v>0</v>
      </c>
      <c r="L143" s="68" t="s">
        <v>319</v>
      </c>
      <c r="M143" s="83" t="s">
        <v>320</v>
      </c>
      <c r="N143" s="69"/>
      <c r="O143" s="18" t="s">
        <v>321</v>
      </c>
    </row>
    <row r="144" spans="1:15" ht="24">
      <c r="A144" s="19">
        <f t="shared" si="2"/>
        <v>141</v>
      </c>
      <c r="B144" s="71">
        <v>45971</v>
      </c>
      <c r="C144" s="82">
        <v>143</v>
      </c>
      <c r="D144" s="75">
        <v>300.79000000000002</v>
      </c>
      <c r="E144" s="76">
        <v>18903.5</v>
      </c>
      <c r="F144" s="67">
        <v>1000000</v>
      </c>
      <c r="G144" s="126" t="s">
        <v>312</v>
      </c>
      <c r="H144" s="126">
        <v>0</v>
      </c>
      <c r="I144" s="126">
        <v>0</v>
      </c>
      <c r="J144" s="74" t="s">
        <v>420</v>
      </c>
      <c r="K144" s="70">
        <v>0</v>
      </c>
      <c r="L144" s="68" t="s">
        <v>322</v>
      </c>
      <c r="M144" s="83" t="s">
        <v>323</v>
      </c>
      <c r="N144" s="69"/>
      <c r="O144" s="18" t="s">
        <v>324</v>
      </c>
    </row>
    <row r="145" spans="1:15" ht="24">
      <c r="A145" s="19">
        <f t="shared" si="2"/>
        <v>142</v>
      </c>
      <c r="B145" s="71">
        <v>45971</v>
      </c>
      <c r="C145" s="82">
        <v>143</v>
      </c>
      <c r="D145" s="75">
        <v>300.79000000000002</v>
      </c>
      <c r="E145" s="76">
        <v>18903.5</v>
      </c>
      <c r="F145" s="67">
        <v>1000000</v>
      </c>
      <c r="G145" s="126" t="s">
        <v>312</v>
      </c>
      <c r="H145" s="126">
        <v>0</v>
      </c>
      <c r="I145" s="126">
        <v>0</v>
      </c>
      <c r="J145" s="74" t="s">
        <v>420</v>
      </c>
      <c r="K145" s="70">
        <v>0</v>
      </c>
      <c r="L145" s="68" t="s">
        <v>322</v>
      </c>
      <c r="M145" s="83" t="s">
        <v>325</v>
      </c>
      <c r="N145" s="69"/>
      <c r="O145" s="18" t="s">
        <v>324</v>
      </c>
    </row>
    <row r="146" spans="1:15" ht="24">
      <c r="A146" s="19">
        <f t="shared" si="2"/>
        <v>143</v>
      </c>
      <c r="B146" s="71">
        <v>45971</v>
      </c>
      <c r="C146" s="82">
        <v>143</v>
      </c>
      <c r="D146" s="75">
        <v>300.79000000000002</v>
      </c>
      <c r="E146" s="76">
        <v>18903.5</v>
      </c>
      <c r="F146" s="67">
        <v>685984</v>
      </c>
      <c r="G146" s="126" t="s">
        <v>312</v>
      </c>
      <c r="H146" s="126">
        <v>0</v>
      </c>
      <c r="I146" s="126">
        <v>0</v>
      </c>
      <c r="J146" s="74" t="s">
        <v>420</v>
      </c>
      <c r="K146" s="70" t="s">
        <v>60</v>
      </c>
      <c r="L146" s="68">
        <v>0</v>
      </c>
      <c r="M146" s="83" t="s">
        <v>326</v>
      </c>
      <c r="N146" s="69"/>
      <c r="O146" s="85">
        <v>0</v>
      </c>
    </row>
    <row r="147" spans="1:15" ht="24">
      <c r="A147" s="19">
        <f t="shared" si="2"/>
        <v>144</v>
      </c>
      <c r="B147" s="71">
        <v>45971</v>
      </c>
      <c r="C147" s="82">
        <v>144</v>
      </c>
      <c r="D147" s="75">
        <v>300.79000000000002</v>
      </c>
      <c r="E147" s="76">
        <v>18903.5</v>
      </c>
      <c r="F147" s="67">
        <v>114016</v>
      </c>
      <c r="G147" s="126" t="s">
        <v>312</v>
      </c>
      <c r="H147" s="126">
        <v>0</v>
      </c>
      <c r="I147" s="126">
        <v>0</v>
      </c>
      <c r="J147" s="74" t="s">
        <v>420</v>
      </c>
      <c r="K147" s="70" t="s">
        <v>60</v>
      </c>
      <c r="L147" s="68">
        <v>0</v>
      </c>
      <c r="M147" s="83" t="s">
        <v>327</v>
      </c>
      <c r="N147" s="69"/>
      <c r="O147" s="85">
        <v>0</v>
      </c>
    </row>
    <row r="148" spans="1:15" ht="24">
      <c r="A148" s="19">
        <f t="shared" si="2"/>
        <v>145</v>
      </c>
      <c r="B148" s="71">
        <v>45972</v>
      </c>
      <c r="C148" s="82">
        <v>144</v>
      </c>
      <c r="D148" s="75">
        <v>300.79000000000002</v>
      </c>
      <c r="E148" s="76">
        <v>18903.5</v>
      </c>
      <c r="F148" s="67">
        <v>1000000</v>
      </c>
      <c r="G148" s="126" t="s">
        <v>312</v>
      </c>
      <c r="H148" s="126">
        <v>0</v>
      </c>
      <c r="I148" s="126">
        <v>0</v>
      </c>
      <c r="J148" s="74" t="s">
        <v>420</v>
      </c>
      <c r="K148" s="70">
        <v>0</v>
      </c>
      <c r="L148" s="68" t="s">
        <v>328</v>
      </c>
      <c r="M148" s="83" t="s">
        <v>329</v>
      </c>
      <c r="N148" s="69"/>
      <c r="O148" s="18" t="s">
        <v>330</v>
      </c>
    </row>
    <row r="149" spans="1:15" ht="24">
      <c r="A149" s="19">
        <f t="shared" si="2"/>
        <v>146</v>
      </c>
      <c r="B149" s="71">
        <v>45972</v>
      </c>
      <c r="C149" s="82">
        <v>144</v>
      </c>
      <c r="D149" s="75">
        <v>300.79000000000002</v>
      </c>
      <c r="E149" s="76">
        <v>18903.5</v>
      </c>
      <c r="F149" s="67">
        <v>1000000</v>
      </c>
      <c r="G149" s="126" t="s">
        <v>312</v>
      </c>
      <c r="H149" s="126">
        <v>0</v>
      </c>
      <c r="I149" s="126">
        <v>0</v>
      </c>
      <c r="J149" s="74" t="s">
        <v>420</v>
      </c>
      <c r="K149" s="70">
        <v>0</v>
      </c>
      <c r="L149" s="48" t="s">
        <v>331</v>
      </c>
      <c r="M149" s="83" t="s">
        <v>332</v>
      </c>
      <c r="N149" s="69"/>
      <c r="O149" s="18" t="s">
        <v>333</v>
      </c>
    </row>
    <row r="150" spans="1:15" ht="24">
      <c r="A150" s="19">
        <f t="shared" si="2"/>
        <v>147</v>
      </c>
      <c r="B150" s="71">
        <v>45972</v>
      </c>
      <c r="C150" s="82">
        <v>144</v>
      </c>
      <c r="D150" s="75">
        <v>300.79000000000002</v>
      </c>
      <c r="E150" s="76">
        <v>18903.5</v>
      </c>
      <c r="F150" s="67">
        <v>1000000</v>
      </c>
      <c r="G150" s="126" t="s">
        <v>312</v>
      </c>
      <c r="H150" s="126">
        <v>0</v>
      </c>
      <c r="I150" s="126">
        <v>0</v>
      </c>
      <c r="J150" s="74" t="s">
        <v>420</v>
      </c>
      <c r="K150" s="70">
        <v>0</v>
      </c>
      <c r="L150" s="86" t="s">
        <v>334</v>
      </c>
      <c r="M150" s="83" t="s">
        <v>335</v>
      </c>
      <c r="N150" s="69"/>
      <c r="O150" s="18" t="s">
        <v>336</v>
      </c>
    </row>
    <row r="151" spans="1:15" ht="24">
      <c r="A151" s="19">
        <f t="shared" si="2"/>
        <v>148</v>
      </c>
      <c r="B151" s="71">
        <v>45972</v>
      </c>
      <c r="C151" s="82">
        <v>144</v>
      </c>
      <c r="D151" s="75">
        <v>300.79000000000002</v>
      </c>
      <c r="E151" s="76">
        <v>18903.5</v>
      </c>
      <c r="F151" s="67">
        <v>2200000</v>
      </c>
      <c r="G151" s="126" t="s">
        <v>312</v>
      </c>
      <c r="H151" s="126">
        <v>0</v>
      </c>
      <c r="I151" s="126">
        <v>0</v>
      </c>
      <c r="J151" s="74" t="s">
        <v>420</v>
      </c>
      <c r="K151" s="70" t="s">
        <v>60</v>
      </c>
      <c r="L151" s="68">
        <v>0</v>
      </c>
      <c r="M151" s="83" t="s">
        <v>337</v>
      </c>
      <c r="N151" s="69"/>
      <c r="O151" s="18"/>
    </row>
    <row r="152" spans="1:15" ht="24">
      <c r="A152" s="19">
        <f t="shared" si="2"/>
        <v>149</v>
      </c>
      <c r="B152" s="71">
        <v>45976</v>
      </c>
      <c r="C152" s="82">
        <v>144</v>
      </c>
      <c r="D152" s="75">
        <v>300.79000000000002</v>
      </c>
      <c r="E152" s="76">
        <v>18903.5</v>
      </c>
      <c r="F152" s="67">
        <v>371968</v>
      </c>
      <c r="G152" s="126" t="s">
        <v>312</v>
      </c>
      <c r="H152" s="126">
        <v>0</v>
      </c>
      <c r="I152" s="126">
        <v>0</v>
      </c>
      <c r="J152" s="74" t="s">
        <v>420</v>
      </c>
      <c r="K152" s="70" t="s">
        <v>60</v>
      </c>
      <c r="L152" s="68">
        <v>0</v>
      </c>
      <c r="M152" s="83" t="s">
        <v>338</v>
      </c>
      <c r="N152" s="69"/>
      <c r="O152" s="18" t="s">
        <v>339</v>
      </c>
    </row>
    <row r="153" spans="1:15" ht="24">
      <c r="A153" s="19">
        <f t="shared" si="2"/>
        <v>150</v>
      </c>
      <c r="B153" s="71">
        <v>45976</v>
      </c>
      <c r="C153" s="82">
        <v>624</v>
      </c>
      <c r="D153" s="21" t="s">
        <v>340</v>
      </c>
      <c r="E153" s="87">
        <v>18903.5</v>
      </c>
      <c r="F153" s="67">
        <v>306621</v>
      </c>
      <c r="G153" s="126" t="s">
        <v>312</v>
      </c>
      <c r="H153" s="126">
        <v>0</v>
      </c>
      <c r="I153" s="126">
        <v>0</v>
      </c>
      <c r="J153" s="74" t="s">
        <v>420</v>
      </c>
      <c r="K153" s="70" t="s">
        <v>60</v>
      </c>
      <c r="L153" s="68">
        <v>0</v>
      </c>
      <c r="M153" s="83" t="s">
        <v>341</v>
      </c>
      <c r="N153" s="69"/>
      <c r="O153" s="18" t="s">
        <v>339</v>
      </c>
    </row>
    <row r="154" spans="1:15" ht="24">
      <c r="A154" s="19">
        <f t="shared" si="2"/>
        <v>151</v>
      </c>
      <c r="B154" s="71">
        <v>45976</v>
      </c>
      <c r="C154" s="82">
        <v>623</v>
      </c>
      <c r="D154" s="63" t="s">
        <v>342</v>
      </c>
      <c r="E154" s="63">
        <v>18903.5</v>
      </c>
      <c r="F154" s="88">
        <v>71411</v>
      </c>
      <c r="G154" s="126" t="s">
        <v>312</v>
      </c>
      <c r="H154" s="126">
        <v>0</v>
      </c>
      <c r="I154" s="126">
        <v>0</v>
      </c>
      <c r="J154" s="74" t="s">
        <v>420</v>
      </c>
      <c r="K154" s="70" t="s">
        <v>7</v>
      </c>
      <c r="L154" s="68">
        <v>0</v>
      </c>
      <c r="M154" s="83" t="s">
        <v>343</v>
      </c>
      <c r="N154" s="69"/>
      <c r="O154" s="18" t="s">
        <v>339</v>
      </c>
    </row>
    <row r="155" spans="1:15" ht="24">
      <c r="A155" s="19">
        <f t="shared" si="2"/>
        <v>152</v>
      </c>
      <c r="B155" s="71">
        <v>45978</v>
      </c>
      <c r="C155" s="89"/>
      <c r="D155" s="21">
        <v>0</v>
      </c>
      <c r="E155" s="84">
        <v>0</v>
      </c>
      <c r="F155" s="67">
        <v>995000</v>
      </c>
      <c r="G155" s="126" t="s">
        <v>312</v>
      </c>
      <c r="H155" s="126">
        <v>0</v>
      </c>
      <c r="I155" s="126">
        <v>0</v>
      </c>
      <c r="J155" s="74" t="s">
        <v>420</v>
      </c>
      <c r="K155" s="70">
        <v>0</v>
      </c>
      <c r="L155" s="68" t="s">
        <v>344</v>
      </c>
      <c r="M155" s="83" t="s">
        <v>345</v>
      </c>
      <c r="N155" s="69"/>
      <c r="O155" s="18" t="s">
        <v>346</v>
      </c>
    </row>
    <row r="156" spans="1:15" ht="24">
      <c r="A156" s="19">
        <f t="shared" si="2"/>
        <v>153</v>
      </c>
      <c r="B156" s="71">
        <v>45978</v>
      </c>
      <c r="C156" s="89"/>
      <c r="D156" s="21">
        <v>0</v>
      </c>
      <c r="E156" s="84">
        <v>0</v>
      </c>
      <c r="F156" s="67">
        <v>995000</v>
      </c>
      <c r="G156" s="126" t="s">
        <v>312</v>
      </c>
      <c r="H156" s="126">
        <v>0</v>
      </c>
      <c r="I156" s="126">
        <v>0</v>
      </c>
      <c r="J156" s="74" t="s">
        <v>420</v>
      </c>
      <c r="K156" s="70">
        <v>0</v>
      </c>
      <c r="L156" s="68" t="s">
        <v>347</v>
      </c>
      <c r="M156" s="83" t="s">
        <v>348</v>
      </c>
      <c r="N156" s="69"/>
      <c r="O156" s="18" t="s">
        <v>349</v>
      </c>
    </row>
    <row r="157" spans="1:15" ht="24">
      <c r="A157" s="19">
        <f t="shared" si="2"/>
        <v>154</v>
      </c>
      <c r="B157" s="71">
        <v>45978</v>
      </c>
      <c r="C157" s="89"/>
      <c r="D157" s="21">
        <v>0</v>
      </c>
      <c r="E157" s="84">
        <v>0</v>
      </c>
      <c r="F157" s="67">
        <v>1776000</v>
      </c>
      <c r="G157" s="126" t="s">
        <v>312</v>
      </c>
      <c r="H157" s="126">
        <v>0</v>
      </c>
      <c r="I157" s="126">
        <v>0</v>
      </c>
      <c r="J157" s="74" t="s">
        <v>420</v>
      </c>
      <c r="K157" s="70">
        <v>0</v>
      </c>
      <c r="L157" s="68" t="s">
        <v>280</v>
      </c>
      <c r="M157" s="83" t="s">
        <v>350</v>
      </c>
      <c r="N157" s="69"/>
      <c r="O157" s="18" t="s">
        <v>351</v>
      </c>
    </row>
    <row r="158" spans="1:15" ht="24">
      <c r="A158" s="19">
        <f t="shared" si="2"/>
        <v>155</v>
      </c>
      <c r="B158" s="71">
        <v>45986</v>
      </c>
      <c r="C158" s="82">
        <v>27</v>
      </c>
      <c r="D158" s="75">
        <v>220.06</v>
      </c>
      <c r="E158" s="76">
        <v>18903.5</v>
      </c>
      <c r="F158" s="67">
        <v>5026420</v>
      </c>
      <c r="G158" s="126" t="s">
        <v>312</v>
      </c>
      <c r="H158" s="126">
        <v>0</v>
      </c>
      <c r="I158" s="126">
        <v>0</v>
      </c>
      <c r="J158" s="74" t="s">
        <v>420</v>
      </c>
      <c r="K158" s="70">
        <v>0</v>
      </c>
      <c r="L158" s="48" t="s">
        <v>352</v>
      </c>
      <c r="M158" s="83" t="s">
        <v>353</v>
      </c>
      <c r="N158" s="69"/>
      <c r="O158" s="18" t="s">
        <v>354</v>
      </c>
    </row>
    <row r="159" spans="1:15" ht="24">
      <c r="A159" s="19">
        <f t="shared" si="2"/>
        <v>156</v>
      </c>
      <c r="B159" s="71">
        <v>45986</v>
      </c>
      <c r="C159" s="90">
        <v>624</v>
      </c>
      <c r="D159" s="21" t="s">
        <v>340</v>
      </c>
      <c r="E159" s="91">
        <v>18903.5</v>
      </c>
      <c r="F159" s="67">
        <v>2957600</v>
      </c>
      <c r="G159" s="126" t="s">
        <v>312</v>
      </c>
      <c r="H159" s="126">
        <v>0</v>
      </c>
      <c r="I159" s="126">
        <v>0</v>
      </c>
      <c r="J159" s="74" t="s">
        <v>420</v>
      </c>
      <c r="K159" s="70" t="s">
        <v>60</v>
      </c>
      <c r="L159" s="68">
        <v>0</v>
      </c>
      <c r="M159" s="83" t="s">
        <v>355</v>
      </c>
      <c r="N159" s="69"/>
      <c r="O159" s="18"/>
    </row>
    <row r="160" spans="1:15">
      <c r="A160" s="19">
        <f t="shared" si="2"/>
        <v>157</v>
      </c>
      <c r="B160" s="71">
        <v>45978</v>
      </c>
      <c r="C160" s="89">
        <v>147</v>
      </c>
      <c r="D160" s="75" t="s">
        <v>357</v>
      </c>
      <c r="E160" s="76">
        <v>28500</v>
      </c>
      <c r="F160" s="102">
        <v>200000</v>
      </c>
      <c r="G160" s="129" t="s">
        <v>358</v>
      </c>
      <c r="H160" s="140" t="s">
        <v>421</v>
      </c>
      <c r="I160" s="139" t="s">
        <v>422</v>
      </c>
      <c r="J160" s="129"/>
      <c r="K160" s="70" t="s">
        <v>60</v>
      </c>
      <c r="L160" s="68">
        <v>0</v>
      </c>
      <c r="M160" s="83" t="s">
        <v>359</v>
      </c>
      <c r="N160" s="69">
        <v>45993</v>
      </c>
      <c r="O160" s="18"/>
    </row>
    <row r="161" spans="1:15">
      <c r="A161" s="19">
        <f t="shared" si="2"/>
        <v>158</v>
      </c>
      <c r="B161" s="71">
        <v>45990</v>
      </c>
      <c r="C161" s="89">
        <v>147</v>
      </c>
      <c r="D161" s="75" t="s">
        <v>357</v>
      </c>
      <c r="E161" s="76">
        <v>28500</v>
      </c>
      <c r="F161" s="102">
        <v>1000000</v>
      </c>
      <c r="G161" s="129" t="s">
        <v>358</v>
      </c>
      <c r="H161" s="140" t="s">
        <v>421</v>
      </c>
      <c r="I161" s="139" t="s">
        <v>422</v>
      </c>
      <c r="J161" s="129"/>
      <c r="K161" s="70" t="s">
        <v>60</v>
      </c>
      <c r="L161" s="68">
        <v>0</v>
      </c>
      <c r="M161" s="83" t="s">
        <v>360</v>
      </c>
      <c r="N161" s="69"/>
      <c r="O161" s="18"/>
    </row>
    <row r="162" spans="1:15">
      <c r="A162" s="19">
        <f t="shared" si="2"/>
        <v>159</v>
      </c>
      <c r="B162" s="71">
        <v>45990</v>
      </c>
      <c r="C162" s="89">
        <v>147</v>
      </c>
      <c r="D162" s="75" t="s">
        <v>357</v>
      </c>
      <c r="E162" s="76">
        <v>28500</v>
      </c>
      <c r="F162" s="102">
        <v>1000000</v>
      </c>
      <c r="G162" s="129" t="s">
        <v>358</v>
      </c>
      <c r="H162" s="140" t="s">
        <v>421</v>
      </c>
      <c r="I162" s="139" t="s">
        <v>422</v>
      </c>
      <c r="J162" s="129"/>
      <c r="K162" s="70" t="s">
        <v>60</v>
      </c>
      <c r="L162" s="68">
        <v>0</v>
      </c>
      <c r="M162" s="83" t="s">
        <v>361</v>
      </c>
      <c r="N162" s="69"/>
      <c r="O162" s="18"/>
    </row>
    <row r="163" spans="1:15">
      <c r="A163" s="19">
        <f t="shared" si="2"/>
        <v>160</v>
      </c>
      <c r="B163" s="71">
        <v>45990</v>
      </c>
      <c r="C163" s="89">
        <v>147</v>
      </c>
      <c r="D163" s="75" t="s">
        <v>357</v>
      </c>
      <c r="E163" s="76">
        <v>28500</v>
      </c>
      <c r="F163" s="102">
        <v>1000000</v>
      </c>
      <c r="G163" s="129" t="s">
        <v>358</v>
      </c>
      <c r="H163" s="140" t="s">
        <v>421</v>
      </c>
      <c r="I163" s="139" t="s">
        <v>422</v>
      </c>
      <c r="J163" s="129"/>
      <c r="K163" s="70" t="s">
        <v>60</v>
      </c>
      <c r="L163" s="68">
        <v>0</v>
      </c>
      <c r="M163" s="83" t="s">
        <v>362</v>
      </c>
      <c r="N163" s="69"/>
      <c r="O163" s="18"/>
    </row>
    <row r="164" spans="1:15">
      <c r="A164" s="19">
        <f t="shared" si="2"/>
        <v>161</v>
      </c>
      <c r="B164" s="71">
        <v>45990</v>
      </c>
      <c r="C164" s="89">
        <v>147</v>
      </c>
      <c r="D164" s="75" t="s">
        <v>357</v>
      </c>
      <c r="E164" s="76">
        <v>28500</v>
      </c>
      <c r="F164" s="102">
        <v>1000000</v>
      </c>
      <c r="G164" s="129" t="s">
        <v>358</v>
      </c>
      <c r="H164" s="140" t="s">
        <v>421</v>
      </c>
      <c r="I164" s="139" t="s">
        <v>422</v>
      </c>
      <c r="J164" s="129"/>
      <c r="K164" s="70" t="s">
        <v>60</v>
      </c>
      <c r="L164" s="68">
        <v>0</v>
      </c>
      <c r="M164" s="83" t="s">
        <v>363</v>
      </c>
      <c r="N164" s="69"/>
      <c r="O164" s="18"/>
    </row>
    <row r="165" spans="1:15">
      <c r="A165" s="19">
        <f t="shared" si="2"/>
        <v>162</v>
      </c>
      <c r="B165" s="71">
        <v>45990</v>
      </c>
      <c r="C165" s="89">
        <v>147</v>
      </c>
      <c r="D165" s="75" t="s">
        <v>357</v>
      </c>
      <c r="E165" s="76">
        <v>28500</v>
      </c>
      <c r="F165" s="102">
        <v>1000000</v>
      </c>
      <c r="G165" s="129" t="s">
        <v>358</v>
      </c>
      <c r="H165" s="140" t="s">
        <v>421</v>
      </c>
      <c r="I165" s="139" t="s">
        <v>422</v>
      </c>
      <c r="J165" s="129"/>
      <c r="K165" s="70" t="s">
        <v>60</v>
      </c>
      <c r="L165" s="68">
        <v>0</v>
      </c>
      <c r="M165" s="83" t="s">
        <v>364</v>
      </c>
      <c r="N165" s="69"/>
      <c r="O165" s="18"/>
    </row>
    <row r="166" spans="1:15">
      <c r="A166" s="19">
        <f t="shared" si="2"/>
        <v>163</v>
      </c>
      <c r="B166" s="71">
        <v>45990</v>
      </c>
      <c r="C166" s="89">
        <v>147</v>
      </c>
      <c r="D166" s="75" t="s">
        <v>357</v>
      </c>
      <c r="E166" s="76">
        <v>28500</v>
      </c>
      <c r="F166" s="102">
        <v>1000000</v>
      </c>
      <c r="G166" s="129" t="s">
        <v>358</v>
      </c>
      <c r="H166" s="140" t="s">
        <v>421</v>
      </c>
      <c r="I166" s="139" t="s">
        <v>422</v>
      </c>
      <c r="J166" s="129"/>
      <c r="K166" s="70" t="s">
        <v>60</v>
      </c>
      <c r="L166" s="68">
        <v>0</v>
      </c>
      <c r="M166" s="83" t="s">
        <v>365</v>
      </c>
      <c r="N166" s="69"/>
      <c r="O166" s="18"/>
    </row>
    <row r="167" spans="1:15">
      <c r="A167" s="19">
        <f t="shared" si="2"/>
        <v>164</v>
      </c>
      <c r="B167" s="71">
        <v>45990</v>
      </c>
      <c r="C167" s="89">
        <v>147</v>
      </c>
      <c r="D167" s="75" t="s">
        <v>357</v>
      </c>
      <c r="E167" s="76">
        <v>28500</v>
      </c>
      <c r="F167" s="102">
        <v>1000000</v>
      </c>
      <c r="G167" s="129" t="s">
        <v>358</v>
      </c>
      <c r="H167" s="140" t="s">
        <v>421</v>
      </c>
      <c r="I167" s="139" t="s">
        <v>422</v>
      </c>
      <c r="J167" s="129"/>
      <c r="K167" s="70" t="s">
        <v>60</v>
      </c>
      <c r="L167" s="68">
        <v>0</v>
      </c>
      <c r="M167" s="83" t="s">
        <v>366</v>
      </c>
      <c r="N167" s="69"/>
      <c r="O167" s="18"/>
    </row>
    <row r="168" spans="1:15">
      <c r="A168" s="19">
        <f t="shared" si="2"/>
        <v>165</v>
      </c>
      <c r="B168" s="71">
        <v>45990</v>
      </c>
      <c r="C168" s="89">
        <v>147</v>
      </c>
      <c r="D168" s="75" t="s">
        <v>357</v>
      </c>
      <c r="E168" s="76">
        <v>28500</v>
      </c>
      <c r="F168" s="102">
        <v>800000</v>
      </c>
      <c r="G168" s="129" t="s">
        <v>358</v>
      </c>
      <c r="H168" s="140" t="s">
        <v>421</v>
      </c>
      <c r="I168" s="139" t="s">
        <v>422</v>
      </c>
      <c r="J168" s="129"/>
      <c r="K168" s="70" t="s">
        <v>60</v>
      </c>
      <c r="L168" s="68">
        <v>0</v>
      </c>
      <c r="M168" s="83" t="s">
        <v>367</v>
      </c>
      <c r="N168" s="69"/>
      <c r="O168" s="18"/>
    </row>
    <row r="169" spans="1:15">
      <c r="A169" s="19">
        <f t="shared" si="2"/>
        <v>166</v>
      </c>
      <c r="B169" s="71">
        <v>45993</v>
      </c>
      <c r="C169" s="89">
        <v>147</v>
      </c>
      <c r="D169" s="75" t="s">
        <v>357</v>
      </c>
      <c r="E169" s="76">
        <v>28500</v>
      </c>
      <c r="F169" s="102">
        <v>1000000</v>
      </c>
      <c r="G169" s="129" t="s">
        <v>368</v>
      </c>
      <c r="H169" s="140" t="s">
        <v>421</v>
      </c>
      <c r="I169" s="139" t="s">
        <v>422</v>
      </c>
      <c r="J169" s="129"/>
      <c r="K169" s="70">
        <v>0</v>
      </c>
      <c r="L169" s="68" t="s">
        <v>369</v>
      </c>
      <c r="M169" s="83"/>
      <c r="N169" s="69"/>
      <c r="O169" s="18"/>
    </row>
    <row r="170" spans="1:15" ht="25.5">
      <c r="A170" s="19">
        <f t="shared" si="2"/>
        <v>167</v>
      </c>
      <c r="B170" s="71">
        <v>45973</v>
      </c>
      <c r="C170" s="74">
        <v>552</v>
      </c>
      <c r="D170" s="75">
        <v>183.36</v>
      </c>
      <c r="E170" s="66">
        <v>26000</v>
      </c>
      <c r="F170" s="24">
        <v>189000</v>
      </c>
      <c r="G170" s="129" t="s">
        <v>370</v>
      </c>
      <c r="H170" s="129">
        <v>0</v>
      </c>
      <c r="I170" s="129">
        <v>0</v>
      </c>
      <c r="J170" s="129">
        <v>0</v>
      </c>
      <c r="K170" s="70">
        <v>0</v>
      </c>
      <c r="L170" s="29" t="s">
        <v>371</v>
      </c>
      <c r="M170" s="80" t="s">
        <v>372</v>
      </c>
      <c r="N170" s="104">
        <v>45988</v>
      </c>
      <c r="O170" s="18"/>
    </row>
    <row r="171" spans="1:15" ht="25.5">
      <c r="A171" s="19">
        <f t="shared" si="2"/>
        <v>168</v>
      </c>
      <c r="B171" s="71">
        <v>45973</v>
      </c>
      <c r="C171" s="74">
        <v>552</v>
      </c>
      <c r="D171" s="75">
        <v>183.36</v>
      </c>
      <c r="E171" s="66">
        <v>26000</v>
      </c>
      <c r="F171" s="24">
        <v>11000</v>
      </c>
      <c r="G171" s="129" t="s">
        <v>370</v>
      </c>
      <c r="H171" s="129">
        <v>0</v>
      </c>
      <c r="I171" s="129">
        <v>0</v>
      </c>
      <c r="J171" s="129">
        <v>0</v>
      </c>
      <c r="K171" s="70">
        <v>0</v>
      </c>
      <c r="L171" s="29" t="s">
        <v>373</v>
      </c>
      <c r="M171" s="80" t="s">
        <v>372</v>
      </c>
      <c r="N171" s="69"/>
      <c r="O171" s="18"/>
    </row>
    <row r="172" spans="1:15">
      <c r="A172" s="19">
        <f t="shared" si="2"/>
        <v>169</v>
      </c>
      <c r="B172" s="71">
        <v>45976</v>
      </c>
      <c r="C172" s="74">
        <v>352</v>
      </c>
      <c r="D172" s="75">
        <v>183.36</v>
      </c>
      <c r="E172" s="105">
        <v>26000</v>
      </c>
      <c r="F172" s="67">
        <v>480000</v>
      </c>
      <c r="G172" s="129" t="s">
        <v>374</v>
      </c>
      <c r="H172" s="129">
        <v>0</v>
      </c>
      <c r="I172" s="129">
        <v>0</v>
      </c>
      <c r="J172" s="129">
        <v>0</v>
      </c>
      <c r="K172" s="70">
        <v>0</v>
      </c>
      <c r="L172" s="68" t="s">
        <v>375</v>
      </c>
      <c r="M172" s="106" t="s">
        <v>376</v>
      </c>
      <c r="N172" s="69"/>
      <c r="O172" s="18"/>
    </row>
    <row r="173" spans="1:15">
      <c r="A173" s="19">
        <f t="shared" si="2"/>
        <v>170</v>
      </c>
      <c r="B173" s="71">
        <v>45988</v>
      </c>
      <c r="C173" s="74">
        <v>528</v>
      </c>
      <c r="D173" s="75">
        <v>350.14</v>
      </c>
      <c r="E173" s="105">
        <v>28500</v>
      </c>
      <c r="F173" s="67">
        <v>50000</v>
      </c>
      <c r="G173" s="129" t="s">
        <v>377</v>
      </c>
      <c r="H173" s="142" t="s">
        <v>423</v>
      </c>
      <c r="I173" s="129">
        <v>0</v>
      </c>
      <c r="J173" s="129"/>
      <c r="K173" s="70" t="s">
        <v>60</v>
      </c>
      <c r="L173" s="68">
        <v>0</v>
      </c>
      <c r="M173" s="107" t="s">
        <v>378</v>
      </c>
      <c r="N173" s="69"/>
      <c r="O173" s="18"/>
    </row>
    <row r="174" spans="1:15">
      <c r="A174" s="19">
        <f t="shared" si="2"/>
        <v>171</v>
      </c>
      <c r="B174" s="33" t="s">
        <v>379</v>
      </c>
      <c r="C174" s="103">
        <v>0</v>
      </c>
      <c r="D174" s="21">
        <v>0</v>
      </c>
      <c r="E174" s="21">
        <v>0</v>
      </c>
      <c r="F174" s="24">
        <v>450000</v>
      </c>
      <c r="G174" s="130" t="s">
        <v>377</v>
      </c>
      <c r="H174" s="130">
        <v>0</v>
      </c>
      <c r="I174" s="130">
        <v>0</v>
      </c>
      <c r="J174" s="130"/>
      <c r="K174" s="56" t="s">
        <v>7</v>
      </c>
      <c r="L174" s="48">
        <v>0</v>
      </c>
      <c r="M174" s="109" t="s">
        <v>380</v>
      </c>
      <c r="N174" s="50"/>
      <c r="O174" s="51"/>
    </row>
    <row r="175" spans="1:15">
      <c r="A175" s="56"/>
      <c r="B175" s="33"/>
      <c r="C175" s="56"/>
      <c r="D175" s="64"/>
      <c r="E175" s="51"/>
      <c r="F175" s="24"/>
      <c r="G175" s="108"/>
      <c r="H175" s="108"/>
      <c r="I175" s="108"/>
      <c r="J175" s="108"/>
      <c r="K175" s="56"/>
      <c r="L175" s="48"/>
      <c r="M175" s="109"/>
      <c r="N175" s="50"/>
      <c r="O175" s="51"/>
    </row>
    <row r="176" spans="1:15" ht="15.75" thickBot="1">
      <c r="A176" s="110" t="s">
        <v>381</v>
      </c>
      <c r="B176" s="111"/>
      <c r="C176" s="111"/>
      <c r="D176" s="111"/>
      <c r="E176" s="111"/>
      <c r="F176" s="112">
        <f>SUM(F4:F174)</f>
        <v>97458833.400000006</v>
      </c>
      <c r="G176" s="113"/>
      <c r="H176" s="133"/>
      <c r="I176" s="133"/>
      <c r="J176" s="133"/>
      <c r="K176" s="114"/>
      <c r="L176" s="114"/>
      <c r="M176" s="115"/>
      <c r="N176" s="116"/>
      <c r="O176" s="117"/>
    </row>
  </sheetData>
  <mergeCells count="2">
    <mergeCell ref="A2:N2"/>
    <mergeCell ref="A176:E17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P14"/>
  <sheetViews>
    <sheetView workbookViewId="0">
      <selection activeCell="P16" sqref="P16"/>
    </sheetView>
  </sheetViews>
  <sheetFormatPr defaultRowHeight="15"/>
  <cols>
    <col min="8" max="8" width="20.28515625" customWidth="1"/>
    <col min="16" max="16" width="29.5703125" customWidth="1"/>
  </cols>
  <sheetData>
    <row r="2" spans="2:16" ht="15.75" thickBot="1"/>
    <row r="3" spans="2:16" ht="15.75" thickBot="1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2:16" ht="36.75" thickBot="1">
      <c r="B4" s="4" t="s">
        <v>1</v>
      </c>
      <c r="C4" s="5" t="s">
        <v>2</v>
      </c>
      <c r="D4" s="5" t="s">
        <v>3</v>
      </c>
      <c r="E4" s="5" t="s">
        <v>4</v>
      </c>
      <c r="F4" s="5" t="s">
        <v>382</v>
      </c>
      <c r="G4" s="5" t="s">
        <v>5</v>
      </c>
      <c r="H4" s="5" t="s">
        <v>6</v>
      </c>
      <c r="I4" s="5" t="s">
        <v>384</v>
      </c>
      <c r="J4" s="5" t="s">
        <v>385</v>
      </c>
      <c r="K4" s="6" t="s">
        <v>7</v>
      </c>
      <c r="L4" s="5" t="s">
        <v>8</v>
      </c>
      <c r="M4" s="7" t="s">
        <v>9</v>
      </c>
      <c r="N4" s="8" t="s">
        <v>10</v>
      </c>
    </row>
    <row r="5" spans="2:16">
      <c r="B5" s="59">
        <v>17</v>
      </c>
      <c r="C5" s="33">
        <v>45931</v>
      </c>
      <c r="D5" s="56">
        <v>515</v>
      </c>
      <c r="E5" s="29"/>
      <c r="F5" s="56"/>
      <c r="G5" s="24"/>
      <c r="H5" s="122" t="s">
        <v>180</v>
      </c>
      <c r="I5" s="122"/>
      <c r="J5" s="122"/>
      <c r="K5" s="39"/>
      <c r="L5" s="39"/>
      <c r="M5" s="60"/>
      <c r="N5" s="26"/>
    </row>
    <row r="6" spans="2:16">
      <c r="B6" s="59">
        <v>18</v>
      </c>
      <c r="C6" s="33">
        <v>45931</v>
      </c>
      <c r="D6" s="56">
        <v>510</v>
      </c>
      <c r="E6" s="29"/>
      <c r="F6" s="56"/>
      <c r="G6" s="24"/>
      <c r="H6" s="122" t="s">
        <v>181</v>
      </c>
      <c r="I6" s="122"/>
      <c r="J6" s="122"/>
      <c r="K6" s="39"/>
      <c r="L6" s="39"/>
      <c r="M6" s="60"/>
      <c r="N6" s="26"/>
    </row>
    <row r="7" spans="2:16">
      <c r="B7" s="58">
        <v>19</v>
      </c>
      <c r="C7" s="33">
        <v>45931</v>
      </c>
      <c r="D7" s="56">
        <v>596</v>
      </c>
      <c r="E7" s="56"/>
      <c r="F7" s="56"/>
      <c r="G7" s="24"/>
      <c r="H7" s="122" t="s">
        <v>182</v>
      </c>
      <c r="I7" s="122"/>
      <c r="J7" s="122"/>
      <c r="K7" s="56"/>
      <c r="L7" s="56"/>
      <c r="M7" s="60"/>
      <c r="N7" s="26"/>
    </row>
    <row r="8" spans="2:16">
      <c r="B8" s="58">
        <v>20</v>
      </c>
      <c r="C8" s="33">
        <v>45931</v>
      </c>
      <c r="D8" s="56">
        <v>425</v>
      </c>
      <c r="E8" s="56"/>
      <c r="F8" s="56"/>
      <c r="G8" s="24"/>
      <c r="H8" s="122" t="s">
        <v>183</v>
      </c>
      <c r="I8" s="122"/>
      <c r="J8" s="122"/>
      <c r="K8" s="56"/>
      <c r="L8" s="56"/>
      <c r="M8" s="60"/>
      <c r="N8" s="26"/>
    </row>
    <row r="9" spans="2:16">
      <c r="B9" s="58">
        <v>21</v>
      </c>
      <c r="C9" s="33">
        <v>45931</v>
      </c>
      <c r="D9" s="56">
        <v>415</v>
      </c>
      <c r="E9" s="56"/>
      <c r="F9" s="56"/>
      <c r="G9" s="24"/>
      <c r="H9" s="122" t="s">
        <v>184</v>
      </c>
      <c r="I9" s="122"/>
      <c r="J9" s="122"/>
      <c r="K9" s="56"/>
      <c r="L9" s="39"/>
      <c r="M9" s="60"/>
      <c r="N9" s="32"/>
    </row>
    <row r="10" spans="2:16">
      <c r="B10" s="58">
        <v>22</v>
      </c>
      <c r="C10" s="33">
        <v>45931</v>
      </c>
      <c r="D10" s="56">
        <v>504</v>
      </c>
      <c r="E10" s="56"/>
      <c r="F10" s="56"/>
      <c r="G10" s="24"/>
      <c r="H10" s="122" t="s">
        <v>185</v>
      </c>
      <c r="I10" s="122"/>
      <c r="J10" s="122"/>
      <c r="K10" s="56"/>
      <c r="L10" s="39"/>
      <c r="M10" s="60"/>
      <c r="N10" s="32"/>
    </row>
    <row r="11" spans="2:16">
      <c r="B11" s="58">
        <v>23</v>
      </c>
      <c r="C11" s="33">
        <v>45931</v>
      </c>
      <c r="D11" s="56">
        <v>505</v>
      </c>
      <c r="E11" s="56"/>
      <c r="F11" s="56"/>
      <c r="G11" s="24"/>
      <c r="H11" s="122" t="s">
        <v>186</v>
      </c>
      <c r="I11" s="122"/>
      <c r="J11" s="122"/>
      <c r="K11" s="56"/>
      <c r="L11" s="39"/>
      <c r="M11" s="60"/>
      <c r="N11" s="32"/>
    </row>
    <row r="12" spans="2:16">
      <c r="B12" s="58">
        <v>24</v>
      </c>
      <c r="C12" s="33">
        <v>45931</v>
      </c>
      <c r="D12" s="56">
        <v>506</v>
      </c>
      <c r="E12" s="56"/>
      <c r="F12" s="56"/>
      <c r="G12" s="24"/>
      <c r="H12" s="122" t="s">
        <v>187</v>
      </c>
      <c r="I12" s="122"/>
      <c r="J12" s="122"/>
      <c r="K12" s="56"/>
      <c r="L12" s="39"/>
      <c r="M12" s="60"/>
      <c r="N12" s="32"/>
    </row>
    <row r="13" spans="2:16">
      <c r="B13" s="58">
        <v>25</v>
      </c>
      <c r="C13" s="33">
        <v>45931</v>
      </c>
      <c r="D13" s="56">
        <v>509</v>
      </c>
      <c r="E13" s="56"/>
      <c r="F13" s="56"/>
      <c r="G13" s="24"/>
      <c r="H13" s="122" t="s">
        <v>188</v>
      </c>
      <c r="I13" s="122"/>
      <c r="J13" s="122"/>
      <c r="K13" s="56"/>
      <c r="L13" s="39"/>
      <c r="M13" s="60"/>
      <c r="N13" s="32"/>
    </row>
    <row r="14" spans="2:16" ht="19.5" customHeight="1">
      <c r="B14" s="92">
        <v>45</v>
      </c>
      <c r="C14" s="93" t="s">
        <v>257</v>
      </c>
      <c r="D14" s="94">
        <v>524</v>
      </c>
      <c r="E14" s="95"/>
      <c r="F14" s="96">
        <v>28500</v>
      </c>
      <c r="G14" s="97"/>
      <c r="H14" s="128"/>
      <c r="I14" s="128"/>
      <c r="J14" s="128"/>
      <c r="K14" s="128"/>
      <c r="L14" s="98"/>
      <c r="M14" s="48"/>
      <c r="N14" s="99">
        <v>0</v>
      </c>
      <c r="O14" s="100"/>
      <c r="P14" s="101" t="s">
        <v>356</v>
      </c>
    </row>
  </sheetData>
  <mergeCells count="1">
    <mergeCell ref="B3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Vishvam Bookings</vt:lpstr>
      <vt:lpstr>OTHER BOOKING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2025-12-08T14:41:21Z</dcterms:modified>
</cp:coreProperties>
</file>