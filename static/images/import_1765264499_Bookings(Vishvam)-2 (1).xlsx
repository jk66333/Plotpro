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hvam Bookings" sheetId="1" r:id="rId4"/>
    <sheet state="visible" name="OTHER BOOKING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<sst xmlns="http://schemas.openxmlformats.org/spreadsheetml/2006/main" count="930" uniqueCount="398">
  <si>
    <t>SNO</t>
  </si>
  <si>
    <t>DATE OF BOOKING</t>
  </si>
  <si>
    <t>PLOT NO.</t>
  </si>
  <si>
    <t>EXTENT</t>
  </si>
  <si>
    <t>Customer Price</t>
  </si>
  <si>
    <t>ADVANCE AMOUNT</t>
  </si>
  <si>
    <t>Custmer Name</t>
  </si>
  <si>
    <t>Customer  Aadhar Number</t>
  </si>
  <si>
    <t>Customer  PAN Number</t>
  </si>
  <si>
    <t>cash</t>
  </si>
  <si>
    <t>Bank transfer</t>
  </si>
  <si>
    <t>Receipt no</t>
  </si>
  <si>
    <t>Prema Jyothirmayi</t>
  </si>
  <si>
    <t>Receipt No.005</t>
  </si>
  <si>
    <t>05.11.2025</t>
  </si>
  <si>
    <t>Receipt No.036</t>
  </si>
  <si>
    <t>Phone pay</t>
  </si>
  <si>
    <t>UPI NO:042605447927</t>
  </si>
  <si>
    <t>Receipt No.037</t>
  </si>
  <si>
    <t>07.11.2025</t>
  </si>
  <si>
    <t>UPI NO:067396125275</t>
  </si>
  <si>
    <t>Receipt No.043</t>
  </si>
  <si>
    <t>Dr.Bangariahgari Chakrapani</t>
  </si>
  <si>
    <t>788415669217</t>
  </si>
  <si>
    <t>ARTPB6533F</t>
  </si>
  <si>
    <t>RTGS UTR No:DCBL202510165000165418</t>
  </si>
  <si>
    <t>Receipt No.006</t>
  </si>
  <si>
    <t>cash Rs.488000-/ and phone Pay Rs.12000</t>
  </si>
  <si>
    <t>Sbi chno.077468 Rs.500000 Dated:02.11.2025 (Cheque Bounce)</t>
  </si>
  <si>
    <t>Receipt No.026 &amp;027,&amp;028</t>
  </si>
  <si>
    <t>06.11.2025</t>
  </si>
  <si>
    <t>BKIDR52025110600673405</t>
  </si>
  <si>
    <t>Receipt No.040</t>
  </si>
  <si>
    <t>09.11.2025</t>
  </si>
  <si>
    <t>Cash-</t>
  </si>
  <si>
    <t>Receipt No:053,054,055,056,057&amp;058</t>
  </si>
  <si>
    <t>310</t>
  </si>
  <si>
    <t>V.Ramana Murthy</t>
  </si>
  <si>
    <t>INFT/EJM8961209</t>
  </si>
  <si>
    <t>Receipt No.007</t>
  </si>
  <si>
    <t>616</t>
  </si>
  <si>
    <t>Kate Palli Naresh</t>
  </si>
  <si>
    <t>210382060834</t>
  </si>
  <si>
    <t>UPI No:661135209981</t>
  </si>
  <si>
    <t>Receipt NO.008</t>
  </si>
  <si>
    <t>UPI No:162898166563</t>
  </si>
  <si>
    <t>Receipt NO.011</t>
  </si>
  <si>
    <t>27.10.2025</t>
  </si>
  <si>
    <t>UBINR22025102701329803</t>
  </si>
  <si>
    <t>Receipt NO.017</t>
  </si>
  <si>
    <t>04.11.2025</t>
  </si>
  <si>
    <t>CASH</t>
  </si>
  <si>
    <t>Receipt NO.034</t>
  </si>
  <si>
    <t>-</t>
  </si>
  <si>
    <t>UTR No:UBINR220251104041009840</t>
  </si>
  <si>
    <t>Receipt NO.035</t>
  </si>
  <si>
    <t>Receipt No.041</t>
  </si>
  <si>
    <t>15.11.2025</t>
  </si>
  <si>
    <t>Receipt No.087&amp;088</t>
  </si>
  <si>
    <t>620</t>
  </si>
  <si>
    <t>Kattula Venkata Reddy</t>
  </si>
  <si>
    <t>525054108488</t>
  </si>
  <si>
    <t>AHFPK1603H</t>
  </si>
  <si>
    <t>transfer UPI ID:T2510182037231311109659</t>
  </si>
  <si>
    <t>Receipt No.009</t>
  </si>
  <si>
    <t>SBI Cheque:976097</t>
  </si>
  <si>
    <t>Receipt No.044</t>
  </si>
  <si>
    <t>Cash</t>
  </si>
  <si>
    <t>Receipt No.045</t>
  </si>
  <si>
    <t>Receipt No.046</t>
  </si>
  <si>
    <t>Receipt No.047</t>
  </si>
  <si>
    <t>490</t>
  </si>
  <si>
    <t>Samatha Manoj Varma</t>
  </si>
  <si>
    <t>760313244921</t>
  </si>
  <si>
    <t>CBSPV5126K</t>
  </si>
  <si>
    <t>Receipt No.010</t>
  </si>
  <si>
    <t>Receipt No.038</t>
  </si>
  <si>
    <t>Hdfc Chq no:000003</t>
  </si>
  <si>
    <t>Receipt No.082</t>
  </si>
  <si>
    <t>Receipt No.084</t>
  </si>
  <si>
    <t>25.10.2025</t>
  </si>
  <si>
    <t>Syed Jubeda (Syed Dawood )</t>
  </si>
  <si>
    <t>277665861268</t>
  </si>
  <si>
    <t>FXFPS6688H</t>
  </si>
  <si>
    <t>cash recd</t>
  </si>
  <si>
    <t>Receipt No.012</t>
  </si>
  <si>
    <t>10.11.2025</t>
  </si>
  <si>
    <t xml:space="preserve">cash </t>
  </si>
  <si>
    <t>Receipt No.061,62,63,64</t>
  </si>
  <si>
    <t>Phone pe UPI No:113936805723</t>
  </si>
  <si>
    <t>Receipt No.064</t>
  </si>
  <si>
    <t>Canara cheque no:482508</t>
  </si>
  <si>
    <t>Receipt No.065</t>
  </si>
  <si>
    <t>Kolipakula.Venkata Mani Kumar</t>
  </si>
  <si>
    <t>UPI No:529811115806</t>
  </si>
  <si>
    <t>Receipt no.013</t>
  </si>
  <si>
    <t>INFT/EK54033489</t>
  </si>
  <si>
    <t>Receipt no.039</t>
  </si>
  <si>
    <t>INFT/EK54037189</t>
  </si>
  <si>
    <t>Ref Id:EKB4716819</t>
  </si>
  <si>
    <t>Receipt no.042</t>
  </si>
  <si>
    <t>Tr ID:ICICR12025112607703172</t>
  </si>
  <si>
    <t>Receipt no.112</t>
  </si>
  <si>
    <t>Tr ID:ICICR12025112707721957</t>
  </si>
  <si>
    <t>Receipt no.164</t>
  </si>
  <si>
    <t>26.10.2025</t>
  </si>
  <si>
    <t>507 &amp; 508</t>
  </si>
  <si>
    <t>1175.95 syd</t>
  </si>
  <si>
    <t>Mora srinvas Reddy</t>
  </si>
  <si>
    <t>343516487078</t>
  </si>
  <si>
    <t>AFMPM6460M</t>
  </si>
  <si>
    <t>UPI No:421200229920</t>
  </si>
  <si>
    <t>Receipt No.014</t>
  </si>
  <si>
    <t>Receipt No.097,98,99</t>
  </si>
  <si>
    <t>Cheque No:000010</t>
  </si>
  <si>
    <t>Receipt No.099</t>
  </si>
  <si>
    <t>Receipt No.102</t>
  </si>
  <si>
    <t>Receipt No.103</t>
  </si>
  <si>
    <t>Receipt No.156</t>
  </si>
  <si>
    <t>Receipt No.157</t>
  </si>
  <si>
    <t>Receipt No.186</t>
  </si>
  <si>
    <t>Receipt No.187</t>
  </si>
  <si>
    <t>366.73 syd</t>
  </si>
  <si>
    <t>Gudela Venu Gopal Rao</t>
  </si>
  <si>
    <t>359339302700</t>
  </si>
  <si>
    <t>AKWPG7212J</t>
  </si>
  <si>
    <t>UPI No:337669393454</t>
  </si>
  <si>
    <t>Receipt NO.015</t>
  </si>
  <si>
    <t>SBIN525331023958</t>
  </si>
  <si>
    <t>Receipt NO.110</t>
  </si>
  <si>
    <t>SBIN525331033217</t>
  </si>
  <si>
    <t>Receipt NO.111</t>
  </si>
  <si>
    <t>SBINR52025112707243163</t>
  </si>
  <si>
    <t>Receipt NO.116</t>
  </si>
  <si>
    <t>Receipt NO.117</t>
  </si>
  <si>
    <t>SBINR52025112707271211</t>
  </si>
  <si>
    <t>Receipt NO.118</t>
  </si>
  <si>
    <t>Jr:196638466</t>
  </si>
  <si>
    <t>Receipt NO.119</t>
  </si>
  <si>
    <t>SBINR52025112707254808</t>
  </si>
  <si>
    <t>Receipt NO.120</t>
  </si>
  <si>
    <t>183.36 syd</t>
  </si>
  <si>
    <t>P.Srinivasa Akhil</t>
  </si>
  <si>
    <t>406900610083</t>
  </si>
  <si>
    <t>DYKPP1536B</t>
  </si>
  <si>
    <t>UTR NO:334869124805</t>
  </si>
  <si>
    <t>Receipt no.016</t>
  </si>
  <si>
    <t>UTR NO:923870114087</t>
  </si>
  <si>
    <t>08.11.2025</t>
  </si>
  <si>
    <t>Ref No:531217395689</t>
  </si>
  <si>
    <t>Receipt no.049</t>
  </si>
  <si>
    <t>Ref No:MB09184334540T39192970</t>
  </si>
  <si>
    <t>Ref No:MB10054419487T41477081</t>
  </si>
  <si>
    <t>HDFC Bank Cheque No:000001 (RTGS)</t>
  </si>
  <si>
    <t>261.19 syd</t>
  </si>
  <si>
    <t>Chikurumalli Ramu</t>
  </si>
  <si>
    <t>835439697870</t>
  </si>
  <si>
    <t>BDPPC8229L</t>
  </si>
  <si>
    <t>Rs:90000/- Hdfc:364184680280</t>
  </si>
  <si>
    <t>Receipt No.019&amp;020</t>
  </si>
  <si>
    <t>Receipt no.018</t>
  </si>
  <si>
    <t>Receipt no.080,81,83</t>
  </si>
  <si>
    <t>305.66 syd</t>
  </si>
  <si>
    <t>Abdul Rameez</t>
  </si>
  <si>
    <t>315518744977</t>
  </si>
  <si>
    <t>BFTPA52828P</t>
  </si>
  <si>
    <t>UPI No:990769000838 &amp; 303290412115</t>
  </si>
  <si>
    <t>Receipt No.021</t>
  </si>
  <si>
    <t>Receipt No.077,78,79</t>
  </si>
  <si>
    <t>350.14 syd</t>
  </si>
  <si>
    <t>Karri Venkateswara Rao</t>
  </si>
  <si>
    <t>NEFT no:SBIN52025102790271142</t>
  </si>
  <si>
    <t>Receipt No.022</t>
  </si>
  <si>
    <t>30.10.2025</t>
  </si>
  <si>
    <t>133.00 syd</t>
  </si>
  <si>
    <t>K.Renuka chari</t>
  </si>
  <si>
    <t>229671913161</t>
  </si>
  <si>
    <t>AWRPK2001Q</t>
  </si>
  <si>
    <t>UPI/192191887658</t>
  </si>
  <si>
    <t>Receipt No.023</t>
  </si>
  <si>
    <t>BIL/INFT/EJY1312617</t>
  </si>
  <si>
    <t>Tr ID:EKE5463389</t>
  </si>
  <si>
    <t>Receipt No.071</t>
  </si>
  <si>
    <t>Tr ID:ICICR12025111207498196</t>
  </si>
  <si>
    <t>Tr ID:531619889952</t>
  </si>
  <si>
    <t>01.11.2025</t>
  </si>
  <si>
    <t>G.Brahmaiah</t>
  </si>
  <si>
    <t>241012796391</t>
  </si>
  <si>
    <t>BQGPG5849E</t>
  </si>
  <si>
    <t>Receipt NO.024</t>
  </si>
  <si>
    <t>02.11.2025</t>
  </si>
  <si>
    <t>Receipt NO.025</t>
  </si>
  <si>
    <t>Receipt NO.050</t>
  </si>
  <si>
    <t>Receipt NO.051</t>
  </si>
  <si>
    <t>Canara bank Cheque no:583056</t>
  </si>
  <si>
    <t>Receipt NO.052</t>
  </si>
  <si>
    <t>V.Ratna Prasanna kumar</t>
  </si>
  <si>
    <t>UPI 214009352137</t>
  </si>
  <si>
    <t>Repecipt No.029</t>
  </si>
  <si>
    <t>K.Praveen</t>
  </si>
  <si>
    <t>UPI 258583753924</t>
  </si>
  <si>
    <t>Recepit No.030</t>
  </si>
  <si>
    <t>K.Ravi Kiran</t>
  </si>
  <si>
    <t>trannsfered</t>
  </si>
  <si>
    <t>Receipit No.031</t>
  </si>
  <si>
    <t>03.11.2025</t>
  </si>
  <si>
    <t>shaik Reshma</t>
  </si>
  <si>
    <t>827506300286</t>
  </si>
  <si>
    <t>GSJPS7831G</t>
  </si>
  <si>
    <t>Receipt No.032</t>
  </si>
  <si>
    <t>Receipt No.105</t>
  </si>
  <si>
    <t>UTR No:038305299020</t>
  </si>
  <si>
    <t>Receipt No.106</t>
  </si>
  <si>
    <t>Ref No:HDFCR52025112587525907</t>
  </si>
  <si>
    <t>Receipt No.108</t>
  </si>
  <si>
    <t>Ref No:HDFCR00630526766</t>
  </si>
  <si>
    <t>Receipt No.107</t>
  </si>
  <si>
    <t>183.36 sytd</t>
  </si>
  <si>
    <t>UTR No:531495885796</t>
  </si>
  <si>
    <t>Ref No:HDFCR006259435053</t>
  </si>
  <si>
    <t>Receipt No.100</t>
  </si>
  <si>
    <t>Ref No:HDFCR52025112487133722</t>
  </si>
  <si>
    <t>Receipt No.101</t>
  </si>
  <si>
    <t>Receipt No.109</t>
  </si>
  <si>
    <t>Receipt No.114</t>
  </si>
  <si>
    <t>UTR No:723415178777</t>
  </si>
  <si>
    <t>Receipt No.115</t>
  </si>
  <si>
    <t>AkkiRaju Lakshmi Naga Narasimha Rao</t>
  </si>
  <si>
    <t>trnasfer</t>
  </si>
  <si>
    <t>Receipt No.033</t>
  </si>
  <si>
    <t>P.SARADA</t>
  </si>
  <si>
    <t>HDFC, Cheque no: 000004 , Rs:10,00,000/- Dt:06-11-2025</t>
  </si>
  <si>
    <t>Receipt No.122</t>
  </si>
  <si>
    <t>Receipt No.123</t>
  </si>
  <si>
    <t>Receipt No.124</t>
  </si>
  <si>
    <t>P.UDAY RAJ</t>
  </si>
  <si>
    <t>HDFC, Cheque no: 000031 , Rs:10,00,000/- Dt:06-11-2025</t>
  </si>
  <si>
    <t>Receipt No.125</t>
  </si>
  <si>
    <t>Receipt No.126</t>
  </si>
  <si>
    <t>Receipt No.127</t>
  </si>
  <si>
    <t>Receipt No.128</t>
  </si>
  <si>
    <t>P.CHANDRASEKHAR</t>
  </si>
  <si>
    <t>UPI No:257768449572</t>
  </si>
  <si>
    <t>Receipt No.129</t>
  </si>
  <si>
    <t>Receipt No.130</t>
  </si>
  <si>
    <t>Receipt No.131</t>
  </si>
  <si>
    <t>ICICI, Cheque no: 574451 , Rs:10,00,000/- Dt:06-11-2025 &amp;UTR No:HDFCR5202511128251208</t>
  </si>
  <si>
    <t>Receipt No.132</t>
  </si>
  <si>
    <t>VTIBR52025120300358963</t>
  </si>
  <si>
    <t>Receipt No.168</t>
  </si>
  <si>
    <t>UTIBR52025120300359147</t>
  </si>
  <si>
    <t>Receipt No.169</t>
  </si>
  <si>
    <t>Madhu</t>
  </si>
  <si>
    <t>UTR No:453640825030</t>
  </si>
  <si>
    <t>Receipt No.133</t>
  </si>
  <si>
    <t>13.11.2025</t>
  </si>
  <si>
    <t>UTR No:069938194251</t>
  </si>
  <si>
    <t>Receipt No.134</t>
  </si>
  <si>
    <t>UTR No:353134918425</t>
  </si>
  <si>
    <t>Receipt No.135</t>
  </si>
  <si>
    <t>16.11.2025</t>
  </si>
  <si>
    <t>UTR No:400115489930</t>
  </si>
  <si>
    <t>Receipt No.136</t>
  </si>
  <si>
    <t>17.11.2025</t>
  </si>
  <si>
    <t>UTR No:234288453568</t>
  </si>
  <si>
    <t>Receipt No.137</t>
  </si>
  <si>
    <t>19.11.2025</t>
  </si>
  <si>
    <t>UTR NO:409313705747</t>
  </si>
  <si>
    <t>Receipt No.138</t>
  </si>
  <si>
    <t>14.11.2025</t>
  </si>
  <si>
    <t>Mohammad Ruksana (Imran)</t>
  </si>
  <si>
    <t>UTR NO:607890131799</t>
  </si>
  <si>
    <t>Receipt No.177</t>
  </si>
  <si>
    <t>UTR No:SBINR52025120408131993</t>
  </si>
  <si>
    <t>Receipt No.178</t>
  </si>
  <si>
    <t>194.48 syd</t>
  </si>
  <si>
    <t>Shaik Fareed</t>
  </si>
  <si>
    <t>Receipt No:059</t>
  </si>
  <si>
    <t>Ref No:533118925250</t>
  </si>
  <si>
    <t>Receipt No:139</t>
  </si>
  <si>
    <t>UTR No:009450463507</t>
  </si>
  <si>
    <t>Receipt No:140</t>
  </si>
  <si>
    <t>Ref No:533222916873</t>
  </si>
  <si>
    <t>Receipt No:141</t>
  </si>
  <si>
    <t>UTR No:056711543284</t>
  </si>
  <si>
    <t>Receipt No:182</t>
  </si>
  <si>
    <t>Ref no:533917929285</t>
  </si>
  <si>
    <t>Receipt No:185</t>
  </si>
  <si>
    <t>Kokku Narendra Datt</t>
  </si>
  <si>
    <t>751343930636</t>
  </si>
  <si>
    <t>Transfer</t>
  </si>
  <si>
    <t>Receipt No:048</t>
  </si>
  <si>
    <t>Tr ID:533612845453</t>
  </si>
  <si>
    <t>Receipt No:165</t>
  </si>
  <si>
    <t>Receipt No:176</t>
  </si>
  <si>
    <t>08.12.2025</t>
  </si>
  <si>
    <t>Receipt No:190</t>
  </si>
  <si>
    <t>SHAIK ILIZA ,JONNADA RAMANA</t>
  </si>
  <si>
    <t>309460298798 , '764145589583</t>
  </si>
  <si>
    <t>HIJPS1447D , BCLPJ7464B</t>
  </si>
  <si>
    <t>Receipt No:066</t>
  </si>
  <si>
    <t>trs UTR No:720262793836</t>
  </si>
  <si>
    <t>Receipt No:070</t>
  </si>
  <si>
    <t>UTR :SBIN325337201064</t>
  </si>
  <si>
    <t>Receipt No:167</t>
  </si>
  <si>
    <t>UTR NO:099865486096</t>
  </si>
  <si>
    <t>Receipt No:183</t>
  </si>
  <si>
    <t>149.79 Syd</t>
  </si>
  <si>
    <t>VELAGAPALLI RATNA KUMARI</t>
  </si>
  <si>
    <t>916915328984</t>
  </si>
  <si>
    <t>APVPV1048M</t>
  </si>
  <si>
    <t>UPI NO:568063274297</t>
  </si>
  <si>
    <t>Receipt No:067</t>
  </si>
  <si>
    <t>SBIN325337177823</t>
  </si>
  <si>
    <t>Receipt No:166</t>
  </si>
  <si>
    <t>Receipt No:170</t>
  </si>
  <si>
    <t>350.14 Syd</t>
  </si>
  <si>
    <t>Transfer No:T2511101726570290982009</t>
  </si>
  <si>
    <t>Receipt No:068</t>
  </si>
  <si>
    <t>BKIDN25315439518</t>
  </si>
  <si>
    <t>Receipt No:069</t>
  </si>
  <si>
    <t>BKIDA253177809752 (Chq no:085866)</t>
  </si>
  <si>
    <t>Receipt No:076</t>
  </si>
  <si>
    <t>Receipt No:091</t>
  </si>
  <si>
    <t>Receipt No:092</t>
  </si>
  <si>
    <t>Receipt No:093</t>
  </si>
  <si>
    <t>Vamsi Krishna Venkata Maruthi Prakhya (USA)</t>
  </si>
  <si>
    <t>Ref no:ICICR12025111007458194</t>
  </si>
  <si>
    <t>Receipt No:142</t>
  </si>
  <si>
    <t>Ref no:ICICR12025111007458453</t>
  </si>
  <si>
    <t>Receipt No:143</t>
  </si>
  <si>
    <t>Ref no:ICICR12025111007457791</t>
  </si>
  <si>
    <t>Receipt No:144</t>
  </si>
  <si>
    <t>Ref no:ICICR12025111007461005</t>
  </si>
  <si>
    <t>Receipt No:145</t>
  </si>
  <si>
    <t>Receipt No:146</t>
  </si>
  <si>
    <t>Receipt No:158</t>
  </si>
  <si>
    <t>Receipt No:159</t>
  </si>
  <si>
    <t>Ref no:ICICR12025111107471882</t>
  </si>
  <si>
    <t>Receipt No:147</t>
  </si>
  <si>
    <t>Ref No:EKF5660455</t>
  </si>
  <si>
    <t>Receipt No:160</t>
  </si>
  <si>
    <t>Ref no:ICICR12025111107472986</t>
  </si>
  <si>
    <t>Receipt No:161</t>
  </si>
  <si>
    <t>Receipt No:162</t>
  </si>
  <si>
    <t>Receipt No:163</t>
  </si>
  <si>
    <t>194.36 syd</t>
  </si>
  <si>
    <t>Receipt No:172</t>
  </si>
  <si>
    <t xml:space="preserve">203 Syd </t>
  </si>
  <si>
    <t>Receipt No:171</t>
  </si>
  <si>
    <t>Tr ID:ICICR12025111707563582</t>
  </si>
  <si>
    <t>Receipt No:173</t>
  </si>
  <si>
    <t>Tr ID:ICICR12025111707563711</t>
  </si>
  <si>
    <t>Receipt No:174</t>
  </si>
  <si>
    <t>Receipt No:175</t>
  </si>
  <si>
    <t>Ref No:EKT8770678</t>
  </si>
  <si>
    <t>Receipt No:180</t>
  </si>
  <si>
    <t>Receipt No:179</t>
  </si>
  <si>
    <t>574.37 syd</t>
  </si>
  <si>
    <t>Dinesh Sourya</t>
  </si>
  <si>
    <t>396620606039</t>
  </si>
  <si>
    <t>AVMPK0705F</t>
  </si>
  <si>
    <t>Receipt No:089</t>
  </si>
  <si>
    <t>Receipt No:148</t>
  </si>
  <si>
    <t>Receipt No:149</t>
  </si>
  <si>
    <t>Receipt No:150</t>
  </si>
  <si>
    <t>Receipt No:151</t>
  </si>
  <si>
    <t>Receipt No:152</t>
  </si>
  <si>
    <t>Receipt No:153</t>
  </si>
  <si>
    <t>Receipt No:154</t>
  </si>
  <si>
    <t>Receipt No:155</t>
  </si>
  <si>
    <t>Dinesh Sourya (Kathi Harini)</t>
  </si>
  <si>
    <t>SBINR52025120207883031</t>
  </si>
  <si>
    <t xml:space="preserve">Naredla Venkata Rami Reddy </t>
  </si>
  <si>
    <t>Tr Id:17630027358986</t>
  </si>
  <si>
    <t>Receipt No:090</t>
  </si>
  <si>
    <t>Tr Id:2511130848427687845494</t>
  </si>
  <si>
    <t>Gudi Sathish Kumar</t>
  </si>
  <si>
    <t>UTR NO:SBINR52025111505915028</t>
  </si>
  <si>
    <t>Receipt No:181</t>
  </si>
  <si>
    <t>Shaik Amanulla</t>
  </si>
  <si>
    <t>913801870083</t>
  </si>
  <si>
    <t>Receipt No:113</t>
  </si>
  <si>
    <t>28.11.2025</t>
  </si>
  <si>
    <t>Receipt No:121</t>
  </si>
  <si>
    <t>Total</t>
  </si>
  <si>
    <t>VISHVAM PLOT DETAILS (Total Flats : 628)</t>
  </si>
  <si>
    <t>Agrement Date (15days)</t>
  </si>
  <si>
    <t>M.Sri Lakshmi</t>
  </si>
  <si>
    <t>M.Bala Krishna</t>
  </si>
  <si>
    <t>M.Parnika</t>
  </si>
  <si>
    <t>M.Navya</t>
  </si>
  <si>
    <t>K.Jayanth</t>
  </si>
  <si>
    <t>D Ravindra</t>
  </si>
  <si>
    <t>Kalyan Chakravarthi</t>
  </si>
  <si>
    <t>Mohammad Karimulla</t>
  </si>
  <si>
    <t>K Bharathi</t>
  </si>
  <si>
    <t>1500 has to be cut from agent commission and 500 company gave 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</si>
</sst>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* #,##0_ ;_ * \-#,##0_ ;_ * &quot;-&quot;??_ ;_ @_ "/>
    <numFmt numFmtId="165" formatCode="_ * #,##0.00_ ;_ * \-#,##0.00_ ;_ * &quot;-&quot;??_ ;_ @_ "/>
    <numFmt numFmtId="166" formatCode="_ * #,##0.0_ ;_ * \-#,##0.0_ ;_ * &quot;-&quot;??_ ;_ @_ "/>
  </numFmts>
  <fonts count="12">
    <font>
      <sz val="11.0"/>
      <color theme="1"/>
      <name val="Calibri"/>
      <scheme val="minor"/>
    </font>
    <font>
      <b/>
      <sz val="9.0"/>
      <color theme="1"/>
      <name val="Calibri"/>
    </font>
    <font>
      <b/>
      <sz val="10.0"/>
      <color theme="1"/>
      <name val="Calibri"/>
    </font>
    <font>
      <b/>
      <sz val="9.0"/>
      <color rgb="FF00B050"/>
      <name val="Calibri"/>
    </font>
    <font>
      <b/>
      <sz val="8.0"/>
      <color theme="1"/>
      <name val="Calibri"/>
    </font>
    <font>
      <b/>
      <sz val="9.0"/>
      <color rgb="FFFF0000"/>
      <name val="Calibri"/>
    </font>
    <font>
      <sz val="11.0"/>
      <color theme="1"/>
      <name val="Calibri"/>
    </font>
    <font>
      <sz val="10.0"/>
      <color theme="1"/>
      <name val="Calibri"/>
    </font>
    <font>
      <b/>
      <sz val="10.0"/>
      <color rgb="FF00B050"/>
      <name val="Calibri"/>
    </font>
    <font>
      <b/>
      <sz val="11.0"/>
      <color theme="1"/>
      <name val="Calibri"/>
    </font>
    <font/>
    <font>
      <sz val="9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</fills>
  <borders count="31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/>
    </xf>
    <xf borderId="5" fillId="0" fontId="1" numFmtId="14" xfId="0" applyAlignment="1" applyBorder="1" applyFont="1" applyNumberFormat="1">
      <alignment horizontal="center"/>
    </xf>
    <xf borderId="6" fillId="3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center" shrinkToFit="0" wrapText="1"/>
    </xf>
    <xf borderId="5" fillId="0" fontId="1" numFmtId="164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 vertical="center"/>
    </xf>
    <xf borderId="5" fillId="0" fontId="1" numFmtId="2" xfId="0" applyAlignment="1" applyBorder="1" applyFont="1" applyNumberFormat="1">
      <alignment horizontal="left" shrinkToFit="0" wrapText="1"/>
    </xf>
    <xf borderId="5" fillId="0" fontId="1" numFmtId="164" xfId="0" applyAlignment="1" applyBorder="1" applyFont="1" applyNumberFormat="1">
      <alignment horizontal="left" shrinkToFit="0" wrapText="1"/>
    </xf>
    <xf borderId="5" fillId="0" fontId="1" numFmtId="0" xfId="0" applyAlignment="1" applyBorder="1" applyFont="1">
      <alignment horizontal="center"/>
    </xf>
    <xf borderId="7" fillId="0" fontId="3" numFmtId="0" xfId="0" applyAlignment="1" applyBorder="1" applyFont="1">
      <alignment horizontal="left" shrinkToFit="0" wrapText="1"/>
    </xf>
    <xf borderId="8" fillId="0" fontId="1" numFmtId="0" xfId="0" applyAlignment="1" applyBorder="1" applyFont="1">
      <alignment horizontal="center"/>
    </xf>
    <xf borderId="9" fillId="0" fontId="1" numFmtId="14" xfId="0" applyAlignment="1" applyBorder="1" applyFont="1" applyNumberFormat="1">
      <alignment horizontal="center"/>
    </xf>
    <xf borderId="9" fillId="0" fontId="2" numFmtId="164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/>
    </xf>
    <xf borderId="10" fillId="0" fontId="3" numFmtId="0" xfId="0" applyAlignment="1" applyBorder="1" applyFont="1">
      <alignment horizontal="left" shrinkToFit="0" wrapText="1"/>
    </xf>
    <xf borderId="9" fillId="3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 shrinkToFit="0" wrapText="1"/>
    </xf>
    <xf borderId="9" fillId="0" fontId="1" numFmtId="2" xfId="0" applyAlignment="1" applyBorder="1" applyFont="1" applyNumberFormat="1">
      <alignment horizontal="center"/>
    </xf>
    <xf borderId="9" fillId="0" fontId="1" numFmtId="2" xfId="0" applyAlignment="1" applyBorder="1" applyFont="1" applyNumberFormat="1">
      <alignment horizontal="left" shrinkToFit="0" wrapText="1"/>
    </xf>
    <xf quotePrefix="1" borderId="9" fillId="0" fontId="1" numFmtId="2" xfId="0" applyAlignment="1" applyBorder="1" applyFont="1" applyNumberFormat="1">
      <alignment horizontal="center" shrinkToFit="0" wrapText="1"/>
    </xf>
    <xf borderId="9" fillId="0" fontId="1" numFmtId="2" xfId="0" applyAlignment="1" applyBorder="1" applyFont="1" applyNumberFormat="1">
      <alignment horizontal="center" shrinkToFit="0" wrapText="1"/>
    </xf>
    <xf borderId="9" fillId="0" fontId="4" numFmtId="0" xfId="0" applyAlignment="1" applyBorder="1" applyFont="1">
      <alignment horizontal="center" shrinkToFit="0" wrapText="1"/>
    </xf>
    <xf borderId="9" fillId="0" fontId="1" numFmtId="14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shrinkToFit="0" wrapText="1"/>
    </xf>
    <xf borderId="9" fillId="0" fontId="1" numFmtId="0" xfId="0" applyAlignment="1" applyBorder="1" applyFont="1">
      <alignment horizontal="center" shrinkToFit="0" vertical="center" wrapText="1"/>
    </xf>
    <xf quotePrefix="1" borderId="9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left" shrinkToFit="0" wrapText="1"/>
    </xf>
    <xf quotePrefix="1" borderId="9" fillId="3" fontId="1" numFmtId="0" xfId="0" applyAlignment="1" applyBorder="1" applyFont="1">
      <alignment horizontal="center"/>
    </xf>
    <xf quotePrefix="1" borderId="9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left" shrinkToFit="0" vertical="center" wrapText="1"/>
    </xf>
    <xf quotePrefix="1" borderId="9" fillId="0" fontId="1" numFmtId="0" xfId="0" applyAlignment="1" applyBorder="1" applyFont="1">
      <alignment horizontal="center" shrinkToFit="0" vertical="center" wrapText="1"/>
    </xf>
    <xf quotePrefix="1" borderId="0" fillId="0" fontId="6" numFmtId="0" xfId="0" applyAlignment="1" applyFont="1">
      <alignment horizontal="center"/>
    </xf>
    <xf borderId="9" fillId="0" fontId="1" numFmtId="0" xfId="0" applyAlignment="1" applyBorder="1" applyFont="1">
      <alignment horizontal="left"/>
    </xf>
    <xf borderId="9" fillId="0" fontId="1" numFmtId="164" xfId="0" applyAlignment="1" applyBorder="1" applyFont="1" applyNumberFormat="1">
      <alignment horizontal="center" shrinkToFit="0" wrapText="1"/>
    </xf>
    <xf borderId="10" fillId="0" fontId="1" numFmtId="0" xfId="0" applyAlignment="1" applyBorder="1" applyFont="1">
      <alignment horizontal="left" shrinkToFit="0" wrapText="1"/>
    </xf>
    <xf quotePrefix="1" borderId="9" fillId="0" fontId="1" numFmtId="164" xfId="0" applyAlignment="1" applyBorder="1" applyFont="1" applyNumberFormat="1">
      <alignment horizontal="center" shrinkToFit="0" wrapText="1"/>
    </xf>
    <xf borderId="9" fillId="0" fontId="4" numFmtId="0" xfId="0" applyAlignment="1" applyBorder="1" applyFont="1">
      <alignment horizontal="center" shrinkToFit="0" vertical="center" wrapText="1"/>
    </xf>
    <xf borderId="9" fillId="0" fontId="1" numFmtId="165" xfId="0" applyAlignment="1" applyBorder="1" applyFont="1" applyNumberFormat="1">
      <alignment horizontal="center" shrinkToFit="0" wrapText="1"/>
    </xf>
    <xf borderId="9" fillId="0" fontId="4" numFmtId="0" xfId="0" applyAlignment="1" applyBorder="1" applyFont="1">
      <alignment horizontal="left" shrinkToFit="0" vertical="center" wrapText="1"/>
    </xf>
    <xf borderId="9" fillId="0" fontId="1" numFmtId="0" xfId="0" applyBorder="1" applyFont="1"/>
    <xf borderId="9" fillId="0" fontId="1" numFmtId="0" xfId="0" applyAlignment="1" applyBorder="1" applyFont="1">
      <alignment shrinkToFit="0" wrapText="1"/>
    </xf>
    <xf borderId="9" fillId="0" fontId="6" numFmtId="14" xfId="0" applyBorder="1" applyFont="1" applyNumberFormat="1"/>
    <xf borderId="9" fillId="0" fontId="6" numFmtId="164" xfId="0" applyBorder="1" applyFont="1" applyNumberFormat="1"/>
    <xf borderId="9" fillId="0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vertical="center"/>
    </xf>
    <xf borderId="9" fillId="0" fontId="1" numFmtId="2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9" fillId="0" fontId="7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9" fillId="0" fontId="7" numFmtId="0" xfId="0" applyBorder="1" applyFont="1"/>
    <xf borderId="9" fillId="0" fontId="6" numFmtId="0" xfId="0" applyBorder="1" applyFont="1"/>
    <xf borderId="9" fillId="0" fontId="7" numFmtId="0" xfId="0" applyAlignment="1" applyBorder="1" applyFont="1">
      <alignment horizontal="center" vertical="center"/>
    </xf>
    <xf borderId="11" fillId="0" fontId="2" numFmtId="164" xfId="0" applyAlignment="1" applyBorder="1" applyFont="1" applyNumberFormat="1">
      <alignment horizontal="center" vertical="center"/>
    </xf>
    <xf borderId="11" fillId="0" fontId="4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vertical="center"/>
    </xf>
    <xf borderId="11" fillId="0" fontId="1" numFmtId="14" xfId="0" applyAlignment="1" applyBorder="1" applyFont="1" applyNumberFormat="1">
      <alignment horizontal="center" vertical="center"/>
    </xf>
    <xf borderId="11" fillId="0" fontId="7" numFmtId="0" xfId="0" applyBorder="1" applyFont="1"/>
    <xf borderId="11" fillId="0" fontId="6" numFmtId="0" xfId="0" applyBorder="1" applyFont="1"/>
    <xf borderId="11" fillId="0" fontId="1" numFmtId="0" xfId="0" applyAlignment="1" applyBorder="1" applyFont="1">
      <alignment horizontal="left" shrinkToFit="0" vertical="center" wrapText="1"/>
    </xf>
    <xf borderId="11" fillId="0" fontId="7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12" fillId="0" fontId="6" numFmtId="0" xfId="0" applyBorder="1" applyFont="1"/>
    <xf borderId="12" fillId="0" fontId="8" numFmtId="0" xfId="0" applyBorder="1" applyFont="1"/>
    <xf borderId="11" fillId="0" fontId="4" numFmtId="0" xfId="0" applyAlignment="1" applyBorder="1" applyFont="1">
      <alignment horizontal="left" shrinkToFit="0" vertical="center" wrapText="1"/>
    </xf>
    <xf quotePrefix="1" borderId="11" fillId="0" fontId="4" numFmtId="0" xfId="0" applyAlignment="1" applyBorder="1" applyFont="1">
      <alignment horizontal="center" shrinkToFit="0" vertical="center" wrapText="1"/>
    </xf>
    <xf borderId="13" fillId="3" fontId="1" numFmtId="0" xfId="0" applyAlignment="1" applyBorder="1" applyFont="1">
      <alignment horizontal="center" vertical="center"/>
    </xf>
    <xf borderId="13" fillId="3" fontId="1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4" fillId="0" fontId="4" numFmtId="0" xfId="0" applyAlignment="1" applyBorder="1" applyFont="1">
      <alignment horizontal="center" shrinkToFit="0" vertical="center" wrapText="1"/>
    </xf>
    <xf borderId="11" fillId="0" fontId="7" numFmtId="164" xfId="0" applyAlignment="1" applyBorder="1" applyFont="1" applyNumberFormat="1">
      <alignment vertical="center"/>
    </xf>
    <xf borderId="11" fillId="0" fontId="6" numFmtId="166" xfId="0" applyBorder="1" applyFont="1" applyNumberFormat="1"/>
    <xf borderId="9" fillId="0" fontId="9" numFmtId="164" xfId="0" applyAlignment="1" applyBorder="1" applyFont="1" applyNumberFormat="1">
      <alignment vertical="center"/>
    </xf>
    <xf borderId="11" fillId="0" fontId="1" numFmtId="0" xfId="0" applyAlignment="1" applyBorder="1" applyFont="1">
      <alignment horizontal="center" readingOrder="0" shrinkToFit="0" vertical="center" wrapText="1"/>
    </xf>
    <xf borderId="13" fillId="4" fontId="1" numFmtId="0" xfId="0" applyAlignment="1" applyBorder="1" applyFill="1" applyFont="1">
      <alignment horizontal="center" shrinkToFit="0" vertical="center" wrapText="1"/>
    </xf>
    <xf borderId="11" fillId="0" fontId="6" numFmtId="166" xfId="0" applyAlignment="1" applyBorder="1" applyFont="1" applyNumberFormat="1">
      <alignment vertical="center"/>
    </xf>
    <xf borderId="11" fillId="0" fontId="1" numFmtId="0" xfId="0" applyAlignment="1" applyBorder="1" applyFont="1">
      <alignment horizontal="center" shrinkToFit="0" vertical="center" wrapText="1"/>
    </xf>
    <xf borderId="11" fillId="0" fontId="9" numFmtId="164" xfId="0" applyAlignment="1" applyBorder="1" applyFont="1" applyNumberFormat="1">
      <alignment horizontal="center" vertical="center"/>
    </xf>
    <xf borderId="11" fillId="0" fontId="2" numFmtId="0" xfId="0" applyAlignment="1" applyBorder="1" applyFont="1">
      <alignment horizontal="left" shrinkToFit="0" vertical="center" wrapText="1"/>
    </xf>
    <xf borderId="11" fillId="0" fontId="7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quotePrefix="1" borderId="11" fillId="0" fontId="2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vertical="center"/>
    </xf>
    <xf borderId="9" fillId="0" fontId="2" numFmtId="0" xfId="0" applyAlignment="1" applyBorder="1" applyFont="1">
      <alignment horizontal="left" shrinkToFit="0" vertical="center" wrapText="1"/>
    </xf>
    <xf borderId="9" fillId="0" fontId="8" numFmtId="0" xfId="0" applyAlignment="1" applyBorder="1" applyFont="1">
      <alignment vertical="center"/>
    </xf>
    <xf borderId="9" fillId="0" fontId="2" numFmtId="0" xfId="0" applyAlignment="1" applyBorder="1" applyFont="1">
      <alignment horizontal="center" shrinkToFit="0" vertical="center" wrapText="1"/>
    </xf>
    <xf borderId="15" fillId="5" fontId="9" numFmtId="0" xfId="0" applyAlignment="1" applyBorder="1" applyFill="1" applyFont="1">
      <alignment horizontal="center"/>
    </xf>
    <xf borderId="16" fillId="0" fontId="10" numFmtId="0" xfId="0" applyBorder="1" applyFont="1"/>
    <xf borderId="17" fillId="0" fontId="10" numFmtId="0" xfId="0" applyBorder="1" applyFont="1"/>
    <xf borderId="18" fillId="5" fontId="9" numFmtId="164" xfId="0" applyBorder="1" applyFont="1" applyNumberFormat="1"/>
    <xf borderId="19" fillId="5" fontId="6" numFmtId="0" xfId="0" applyAlignment="1" applyBorder="1" applyFont="1">
      <alignment shrinkToFit="0" wrapText="1"/>
    </xf>
    <xf borderId="20" fillId="5" fontId="6" numFmtId="0" xfId="0" applyAlignment="1" applyBorder="1" applyFont="1">
      <alignment shrinkToFit="0" wrapText="1"/>
    </xf>
    <xf borderId="21" fillId="5" fontId="6" numFmtId="0" xfId="0" applyBorder="1" applyFont="1"/>
    <xf borderId="22" fillId="5" fontId="6" numFmtId="0" xfId="0" applyBorder="1" applyFont="1"/>
    <xf borderId="23" fillId="5" fontId="1" numFmtId="0" xfId="0" applyAlignment="1" applyBorder="1" applyFont="1">
      <alignment horizontal="center" vertical="center"/>
    </xf>
    <xf borderId="24" fillId="0" fontId="10" numFmtId="0" xfId="0" applyBorder="1" applyFont="1"/>
    <xf borderId="25" fillId="0" fontId="10" numFmtId="0" xfId="0" applyBorder="1" applyFont="1"/>
    <xf borderId="26" fillId="2" fontId="4" numFmtId="0" xfId="0" applyAlignment="1" applyBorder="1" applyFont="1">
      <alignment horizontal="center" shrinkToFit="0" vertical="center" wrapText="1"/>
    </xf>
    <xf borderId="8" fillId="0" fontId="11" numFmtId="0" xfId="0" applyBorder="1" applyFont="1"/>
    <xf borderId="9" fillId="0" fontId="11" numFmtId="0" xfId="0" applyBorder="1" applyFont="1"/>
    <xf borderId="27" fillId="0" fontId="6" numFmtId="0" xfId="0" applyBorder="1" applyFont="1"/>
    <xf borderId="8" fillId="0" fontId="1" numFmtId="0" xfId="0" applyAlignment="1" applyBorder="1" applyFont="1">
      <alignment horizontal="center" vertical="center"/>
    </xf>
    <xf borderId="27" fillId="0" fontId="6" numFmtId="14" xfId="0" applyBorder="1" applyFont="1" applyNumberFormat="1"/>
    <xf borderId="28" fillId="0" fontId="1" numFmtId="0" xfId="0" applyAlignment="1" applyBorder="1" applyFont="1">
      <alignment horizontal="center"/>
    </xf>
    <xf borderId="11" fillId="0" fontId="1" numFmtId="14" xfId="0" applyAlignment="1" applyBorder="1" applyFont="1" applyNumberFormat="1">
      <alignment horizontal="center"/>
    </xf>
    <xf borderId="11" fillId="0" fontId="1" numFmtId="0" xfId="0" applyAlignment="1" applyBorder="1" applyFont="1">
      <alignment horizontal="center" shrinkToFit="0" wrapText="1"/>
    </xf>
    <xf borderId="11" fillId="0" fontId="2" numFmtId="0" xfId="0" applyAlignment="1" applyBorder="1" applyFont="1">
      <alignment horizontal="center"/>
    </xf>
    <xf borderId="11" fillId="0" fontId="9" numFmtId="0" xfId="0" applyAlignment="1" applyBorder="1" applyFont="1">
      <alignment horizontal="center"/>
    </xf>
    <xf borderId="11" fillId="0" fontId="2" numFmtId="164" xfId="0" applyAlignment="1" applyBorder="1" applyFont="1" applyNumberFormat="1">
      <alignment horizontal="center"/>
    </xf>
    <xf borderId="11" fillId="0" fontId="4" numFmtId="0" xfId="0" applyAlignment="1" applyBorder="1" applyFont="1">
      <alignment horizontal="left" shrinkToFit="0" wrapText="1"/>
    </xf>
    <xf borderId="11" fillId="0" fontId="1" numFmtId="0" xfId="0" applyAlignment="1" applyBorder="1" applyFont="1">
      <alignment horizontal="center"/>
    </xf>
    <xf borderId="12" fillId="0" fontId="8" numFmtId="0" xfId="0" applyAlignment="1" applyBorder="1" applyFont="1">
      <alignment horizontal="center"/>
    </xf>
    <xf borderId="29" fillId="0" fontId="9" numFmtId="14" xfId="0" applyAlignment="1" applyBorder="1" applyFont="1" applyNumberFormat="1">
      <alignment horizontal="center"/>
    </xf>
    <xf borderId="30" fillId="0" fontId="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14"/>
    <col customWidth="1" min="3" max="3" width="8.71"/>
    <col customWidth="1" min="4" max="4" width="9.71"/>
    <col customWidth="1" min="5" max="5" width="10.86"/>
    <col customWidth="1" min="6" max="6" width="12.57"/>
    <col customWidth="1" min="7" max="7" width="23.0"/>
    <col customWidth="1" min="8" max="8" width="23.57"/>
    <col customWidth="1" min="9" max="9" width="23.29"/>
    <col customWidth="1" min="10" max="10" width="18.43"/>
    <col customWidth="1" min="11" max="11" width="31.14"/>
    <col customWidth="1" min="12" max="12" width="15.14"/>
    <col customWidth="1" min="13" max="23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4" t="s">
        <v>11</v>
      </c>
    </row>
    <row r="2">
      <c r="A2" s="5">
        <v>1.0</v>
      </c>
      <c r="B2" s="6">
        <v>45938.0</v>
      </c>
      <c r="C2" s="7">
        <v>580.0</v>
      </c>
      <c r="D2" s="8">
        <v>147.38</v>
      </c>
      <c r="E2" s="9">
        <v>26000.0</v>
      </c>
      <c r="F2" s="10">
        <v>200000.0</v>
      </c>
      <c r="G2" s="11" t="s">
        <v>12</v>
      </c>
      <c r="H2" s="12">
        <v>0.0</v>
      </c>
      <c r="I2" s="12">
        <v>0.0</v>
      </c>
      <c r="J2" s="13" t="s">
        <v>9</v>
      </c>
      <c r="K2" s="13">
        <v>0.0</v>
      </c>
      <c r="L2" s="14" t="s">
        <v>13</v>
      </c>
    </row>
    <row r="3">
      <c r="A3" s="15">
        <f t="shared" ref="A3:A172" si="1">A2+1</f>
        <v>2</v>
      </c>
      <c r="B3" s="16" t="s">
        <v>14</v>
      </c>
      <c r="C3" s="7">
        <v>580.0</v>
      </c>
      <c r="D3" s="8">
        <v>147.38</v>
      </c>
      <c r="E3" s="9">
        <v>26000.0</v>
      </c>
      <c r="F3" s="17">
        <v>832000.0</v>
      </c>
      <c r="G3" s="11" t="s">
        <v>12</v>
      </c>
      <c r="H3" s="12">
        <v>0.0</v>
      </c>
      <c r="I3" s="12">
        <v>0.0</v>
      </c>
      <c r="J3" s="18" t="s">
        <v>9</v>
      </c>
      <c r="K3" s="18">
        <v>0.0</v>
      </c>
      <c r="L3" s="19" t="s">
        <v>15</v>
      </c>
    </row>
    <row r="4">
      <c r="A4" s="15">
        <f t="shared" si="1"/>
        <v>3</v>
      </c>
      <c r="B4" s="16" t="s">
        <v>14</v>
      </c>
      <c r="C4" s="7">
        <v>580.0</v>
      </c>
      <c r="D4" s="8">
        <v>147.38</v>
      </c>
      <c r="E4" s="9">
        <v>26000.0</v>
      </c>
      <c r="F4" s="17">
        <f>100000+45633</f>
        <v>145633</v>
      </c>
      <c r="G4" s="11" t="s">
        <v>12</v>
      </c>
      <c r="H4" s="12">
        <v>0.0</v>
      </c>
      <c r="I4" s="12">
        <v>0.0</v>
      </c>
      <c r="J4" s="18" t="s">
        <v>16</v>
      </c>
      <c r="K4" s="18" t="s">
        <v>17</v>
      </c>
      <c r="L4" s="19" t="s">
        <v>18</v>
      </c>
    </row>
    <row r="5">
      <c r="A5" s="15">
        <f t="shared" si="1"/>
        <v>4</v>
      </c>
      <c r="B5" s="16" t="s">
        <v>19</v>
      </c>
      <c r="C5" s="7">
        <v>580.0</v>
      </c>
      <c r="D5" s="8">
        <v>147.38</v>
      </c>
      <c r="E5" s="9">
        <v>26000.0</v>
      </c>
      <c r="F5" s="17">
        <v>100000.0</v>
      </c>
      <c r="G5" s="11" t="s">
        <v>12</v>
      </c>
      <c r="H5" s="12">
        <v>0.0</v>
      </c>
      <c r="I5" s="12">
        <v>0.0</v>
      </c>
      <c r="J5" s="18">
        <v>0.0</v>
      </c>
      <c r="K5" s="18" t="s">
        <v>20</v>
      </c>
      <c r="L5" s="19" t="s">
        <v>21</v>
      </c>
    </row>
    <row r="6" ht="18.75" customHeight="1">
      <c r="A6" s="15">
        <f t="shared" si="1"/>
        <v>5</v>
      </c>
      <c r="B6" s="16">
        <v>45946.0</v>
      </c>
      <c r="C6" s="20">
        <v>608.0</v>
      </c>
      <c r="D6" s="21">
        <v>809.97</v>
      </c>
      <c r="E6" s="22">
        <v>26000.0</v>
      </c>
      <c r="F6" s="17">
        <v>200000.0</v>
      </c>
      <c r="G6" s="23" t="s">
        <v>22</v>
      </c>
      <c r="H6" s="24" t="s">
        <v>23</v>
      </c>
      <c r="I6" s="25" t="s">
        <v>24</v>
      </c>
      <c r="J6" s="18">
        <v>0.0</v>
      </c>
      <c r="K6" s="26" t="s">
        <v>25</v>
      </c>
      <c r="L6" s="19" t="s">
        <v>26</v>
      </c>
    </row>
    <row r="7" ht="24.0" customHeight="1">
      <c r="A7" s="15">
        <f t="shared" si="1"/>
        <v>6</v>
      </c>
      <c r="B7" s="27">
        <v>45963.0</v>
      </c>
      <c r="C7" s="20">
        <v>608.0</v>
      </c>
      <c r="D7" s="21">
        <v>809.97</v>
      </c>
      <c r="E7" s="22">
        <v>26000.0</v>
      </c>
      <c r="F7" s="17">
        <v>500000.0</v>
      </c>
      <c r="G7" s="23" t="s">
        <v>22</v>
      </c>
      <c r="H7" s="24" t="s">
        <v>23</v>
      </c>
      <c r="I7" s="25" t="s">
        <v>24</v>
      </c>
      <c r="J7" s="21" t="s">
        <v>27</v>
      </c>
      <c r="K7" s="28" t="s">
        <v>28</v>
      </c>
      <c r="L7" s="19" t="s">
        <v>29</v>
      </c>
    </row>
    <row r="8" ht="21.75" customHeight="1">
      <c r="A8" s="15">
        <f t="shared" si="1"/>
        <v>7</v>
      </c>
      <c r="B8" s="16" t="s">
        <v>30</v>
      </c>
      <c r="C8" s="20">
        <v>608.0</v>
      </c>
      <c r="D8" s="21">
        <v>809.97</v>
      </c>
      <c r="E8" s="22">
        <v>26000.0</v>
      </c>
      <c r="F8" s="17">
        <v>813333.0</v>
      </c>
      <c r="G8" s="23" t="s">
        <v>22</v>
      </c>
      <c r="H8" s="24" t="s">
        <v>23</v>
      </c>
      <c r="I8" s="25" t="s">
        <v>24</v>
      </c>
      <c r="J8" s="21">
        <v>0.0</v>
      </c>
      <c r="K8" s="29" t="s">
        <v>31</v>
      </c>
      <c r="L8" s="19" t="s">
        <v>32</v>
      </c>
    </row>
    <row r="9">
      <c r="A9" s="15">
        <f t="shared" si="1"/>
        <v>8</v>
      </c>
      <c r="B9" s="16" t="s">
        <v>33</v>
      </c>
      <c r="C9" s="20">
        <v>608.0</v>
      </c>
      <c r="D9" s="21">
        <v>809.97</v>
      </c>
      <c r="E9" s="22">
        <v>26000.0</v>
      </c>
      <c r="F9" s="17">
        <v>5506407.0</v>
      </c>
      <c r="G9" s="23" t="s">
        <v>22</v>
      </c>
      <c r="H9" s="24" t="s">
        <v>23</v>
      </c>
      <c r="I9" s="25" t="s">
        <v>24</v>
      </c>
      <c r="J9" s="21" t="s">
        <v>34</v>
      </c>
      <c r="K9" s="29">
        <v>0.0</v>
      </c>
      <c r="L9" s="19" t="s">
        <v>35</v>
      </c>
    </row>
    <row r="10">
      <c r="A10" s="15">
        <f t="shared" si="1"/>
        <v>9</v>
      </c>
      <c r="B10" s="16">
        <v>45948.0</v>
      </c>
      <c r="C10" s="30" t="s">
        <v>36</v>
      </c>
      <c r="D10" s="21">
        <v>366.73</v>
      </c>
      <c r="E10" s="22">
        <v>27000.0</v>
      </c>
      <c r="F10" s="17">
        <v>100000.0</v>
      </c>
      <c r="G10" s="31" t="s">
        <v>37</v>
      </c>
      <c r="H10" s="31">
        <v>0.0</v>
      </c>
      <c r="I10" s="31">
        <v>0.0</v>
      </c>
      <c r="J10" s="18">
        <v>0.0</v>
      </c>
      <c r="K10" s="18" t="s">
        <v>38</v>
      </c>
      <c r="L10" s="19" t="s">
        <v>39</v>
      </c>
    </row>
    <row r="11">
      <c r="A11" s="15">
        <f t="shared" si="1"/>
        <v>10</v>
      </c>
      <c r="B11" s="16">
        <v>45948.0</v>
      </c>
      <c r="C11" s="32" t="s">
        <v>40</v>
      </c>
      <c r="D11" s="21">
        <v>261.19</v>
      </c>
      <c r="E11" s="22">
        <v>26000.0</v>
      </c>
      <c r="F11" s="17">
        <v>99000.0</v>
      </c>
      <c r="G11" s="31" t="s">
        <v>41</v>
      </c>
      <c r="H11" s="33" t="s">
        <v>42</v>
      </c>
      <c r="I11" s="31">
        <v>0.0</v>
      </c>
      <c r="J11" s="18">
        <v>0.0</v>
      </c>
      <c r="K11" s="18" t="s">
        <v>43</v>
      </c>
      <c r="L11" s="19" t="s">
        <v>44</v>
      </c>
    </row>
    <row r="12">
      <c r="A12" s="15">
        <f t="shared" si="1"/>
        <v>11</v>
      </c>
      <c r="B12" s="16">
        <v>45952.0</v>
      </c>
      <c r="C12" s="32" t="s">
        <v>40</v>
      </c>
      <c r="D12" s="21">
        <v>261.19</v>
      </c>
      <c r="E12" s="22">
        <v>26000.0</v>
      </c>
      <c r="F12" s="17">
        <v>50000.0</v>
      </c>
      <c r="G12" s="31" t="s">
        <v>41</v>
      </c>
      <c r="H12" s="31">
        <v>0.0</v>
      </c>
      <c r="I12" s="31">
        <v>0.0</v>
      </c>
      <c r="J12" s="18">
        <v>0.0</v>
      </c>
      <c r="K12" s="18" t="s">
        <v>45</v>
      </c>
      <c r="L12" s="19" t="s">
        <v>46</v>
      </c>
    </row>
    <row r="13">
      <c r="A13" s="15">
        <f t="shared" si="1"/>
        <v>12</v>
      </c>
      <c r="B13" s="18" t="s">
        <v>47</v>
      </c>
      <c r="C13" s="32" t="s">
        <v>40</v>
      </c>
      <c r="D13" s="21">
        <v>261.19</v>
      </c>
      <c r="E13" s="22">
        <v>26000.0</v>
      </c>
      <c r="F13" s="17">
        <v>750000.0</v>
      </c>
      <c r="G13" s="31" t="s">
        <v>41</v>
      </c>
      <c r="H13" s="31">
        <v>0.0</v>
      </c>
      <c r="I13" s="31">
        <v>0.0</v>
      </c>
      <c r="J13" s="18">
        <v>0.0</v>
      </c>
      <c r="K13" s="18" t="s">
        <v>48</v>
      </c>
      <c r="L13" s="19" t="s">
        <v>49</v>
      </c>
    </row>
    <row r="14">
      <c r="A14" s="15">
        <f t="shared" si="1"/>
        <v>13</v>
      </c>
      <c r="B14" s="18" t="s">
        <v>50</v>
      </c>
      <c r="C14" s="32" t="s">
        <v>40</v>
      </c>
      <c r="D14" s="21">
        <v>261.19</v>
      </c>
      <c r="E14" s="22">
        <v>26000.0</v>
      </c>
      <c r="F14" s="17">
        <v>162000.0</v>
      </c>
      <c r="G14" s="31" t="s">
        <v>41</v>
      </c>
      <c r="H14" s="31">
        <v>0.0</v>
      </c>
      <c r="I14" s="31">
        <v>0.0</v>
      </c>
      <c r="J14" s="18" t="s">
        <v>51</v>
      </c>
      <c r="K14" s="18">
        <v>0.0</v>
      </c>
      <c r="L14" s="19" t="s">
        <v>52</v>
      </c>
    </row>
    <row r="15">
      <c r="A15" s="15">
        <f t="shared" si="1"/>
        <v>14</v>
      </c>
      <c r="B15" s="18" t="s">
        <v>50</v>
      </c>
      <c r="C15" s="32" t="s">
        <v>40</v>
      </c>
      <c r="D15" s="21">
        <v>261.19</v>
      </c>
      <c r="E15" s="22">
        <v>26000.0</v>
      </c>
      <c r="F15" s="17">
        <v>635500.0</v>
      </c>
      <c r="G15" s="31" t="s">
        <v>41</v>
      </c>
      <c r="H15" s="31">
        <v>0.0</v>
      </c>
      <c r="I15" s="31">
        <v>0.0</v>
      </c>
      <c r="J15" s="18" t="s">
        <v>53</v>
      </c>
      <c r="K15" s="18" t="s">
        <v>54</v>
      </c>
      <c r="L15" s="19" t="s">
        <v>55</v>
      </c>
    </row>
    <row r="16">
      <c r="A16" s="15">
        <f t="shared" si="1"/>
        <v>15</v>
      </c>
      <c r="B16" s="18" t="s">
        <v>14</v>
      </c>
      <c r="C16" s="32" t="s">
        <v>40</v>
      </c>
      <c r="D16" s="21">
        <v>261.19</v>
      </c>
      <c r="E16" s="22">
        <v>26000.0</v>
      </c>
      <c r="F16" s="17">
        <v>1240.0</v>
      </c>
      <c r="G16" s="31" t="s">
        <v>41</v>
      </c>
      <c r="H16" s="31">
        <v>0.0</v>
      </c>
      <c r="I16" s="31">
        <v>0.0</v>
      </c>
      <c r="J16" s="18" t="s">
        <v>51</v>
      </c>
      <c r="K16" s="18">
        <v>0.0</v>
      </c>
      <c r="L16" s="19" t="s">
        <v>56</v>
      </c>
    </row>
    <row r="17">
      <c r="A17" s="15">
        <f t="shared" si="1"/>
        <v>16</v>
      </c>
      <c r="B17" s="18" t="s">
        <v>57</v>
      </c>
      <c r="C17" s="32" t="s">
        <v>40</v>
      </c>
      <c r="D17" s="21">
        <v>261.19</v>
      </c>
      <c r="E17" s="22">
        <v>26000.0</v>
      </c>
      <c r="F17" s="17">
        <v>2000000.0</v>
      </c>
      <c r="G17" s="31" t="s">
        <v>41</v>
      </c>
      <c r="H17" s="31">
        <v>0.0</v>
      </c>
      <c r="I17" s="31">
        <v>0.0</v>
      </c>
      <c r="J17" s="18" t="s">
        <v>51</v>
      </c>
      <c r="K17" s="18">
        <v>0.0</v>
      </c>
      <c r="L17" s="19" t="s">
        <v>58</v>
      </c>
    </row>
    <row r="18">
      <c r="A18" s="15">
        <f t="shared" si="1"/>
        <v>17</v>
      </c>
      <c r="B18" s="16">
        <v>45948.0</v>
      </c>
      <c r="C18" s="32" t="s">
        <v>59</v>
      </c>
      <c r="D18" s="21">
        <v>250.07</v>
      </c>
      <c r="E18" s="25">
        <v>26200.0</v>
      </c>
      <c r="F18" s="17">
        <v>99000.0</v>
      </c>
      <c r="G18" s="34" t="s">
        <v>60</v>
      </c>
      <c r="H18" s="35" t="s">
        <v>61</v>
      </c>
      <c r="I18" s="29" t="s">
        <v>62</v>
      </c>
      <c r="J18" s="18">
        <v>0.0</v>
      </c>
      <c r="K18" s="21" t="s">
        <v>63</v>
      </c>
      <c r="L18" s="19" t="s">
        <v>64</v>
      </c>
    </row>
    <row r="19" ht="15.75" customHeight="1">
      <c r="A19" s="15">
        <f t="shared" si="1"/>
        <v>18</v>
      </c>
      <c r="B19" s="16">
        <v>45969.0</v>
      </c>
      <c r="C19" s="32" t="s">
        <v>59</v>
      </c>
      <c r="D19" s="21">
        <v>250.07</v>
      </c>
      <c r="E19" s="25">
        <v>26200.0</v>
      </c>
      <c r="F19" s="17">
        <v>500000.0</v>
      </c>
      <c r="G19" s="34" t="s">
        <v>60</v>
      </c>
      <c r="H19" s="35" t="s">
        <v>61</v>
      </c>
      <c r="I19" s="29" t="s">
        <v>62</v>
      </c>
      <c r="J19" s="18">
        <v>0.0</v>
      </c>
      <c r="K19" s="21" t="s">
        <v>65</v>
      </c>
      <c r="L19" s="19" t="s">
        <v>66</v>
      </c>
    </row>
    <row r="20" ht="15.75" customHeight="1">
      <c r="A20" s="15">
        <f t="shared" si="1"/>
        <v>19</v>
      </c>
      <c r="B20" s="16">
        <v>45969.0</v>
      </c>
      <c r="C20" s="32" t="s">
        <v>59</v>
      </c>
      <c r="D20" s="21">
        <v>250.07</v>
      </c>
      <c r="E20" s="25">
        <v>26200.0</v>
      </c>
      <c r="F20" s="17">
        <v>500000.0</v>
      </c>
      <c r="G20" s="34" t="s">
        <v>60</v>
      </c>
      <c r="H20" s="35" t="s">
        <v>61</v>
      </c>
      <c r="I20" s="29" t="s">
        <v>62</v>
      </c>
      <c r="J20" s="18" t="s">
        <v>67</v>
      </c>
      <c r="K20" s="18">
        <v>0.0</v>
      </c>
      <c r="L20" s="19" t="s">
        <v>68</v>
      </c>
    </row>
    <row r="21" ht="15.75" customHeight="1">
      <c r="A21" s="15">
        <f t="shared" si="1"/>
        <v>20</v>
      </c>
      <c r="B21" s="16">
        <v>45969.0</v>
      </c>
      <c r="C21" s="32" t="s">
        <v>59</v>
      </c>
      <c r="D21" s="21">
        <v>250.07</v>
      </c>
      <c r="E21" s="25">
        <v>26200.0</v>
      </c>
      <c r="F21" s="17">
        <v>500000.0</v>
      </c>
      <c r="G21" s="34" t="s">
        <v>60</v>
      </c>
      <c r="H21" s="35" t="s">
        <v>61</v>
      </c>
      <c r="I21" s="29" t="s">
        <v>62</v>
      </c>
      <c r="J21" s="18" t="s">
        <v>67</v>
      </c>
      <c r="K21" s="18">
        <v>0.0</v>
      </c>
      <c r="L21" s="19" t="s">
        <v>69</v>
      </c>
    </row>
    <row r="22" ht="15.75" customHeight="1">
      <c r="A22" s="15">
        <f t="shared" si="1"/>
        <v>21</v>
      </c>
      <c r="B22" s="16">
        <v>45969.0</v>
      </c>
      <c r="C22" s="32" t="s">
        <v>59</v>
      </c>
      <c r="D22" s="21">
        <v>250.07</v>
      </c>
      <c r="E22" s="25">
        <v>26200.0</v>
      </c>
      <c r="F22" s="17">
        <v>500000.0</v>
      </c>
      <c r="G22" s="34" t="s">
        <v>60</v>
      </c>
      <c r="H22" s="35" t="s">
        <v>61</v>
      </c>
      <c r="I22" s="29" t="s">
        <v>62</v>
      </c>
      <c r="J22" s="18" t="s">
        <v>67</v>
      </c>
      <c r="K22" s="18">
        <v>0.0</v>
      </c>
      <c r="L22" s="19" t="s">
        <v>70</v>
      </c>
    </row>
    <row r="23" ht="15.75" customHeight="1">
      <c r="A23" s="15">
        <f t="shared" si="1"/>
        <v>22</v>
      </c>
      <c r="B23" s="16">
        <v>45951.0</v>
      </c>
      <c r="C23" s="32" t="s">
        <v>71</v>
      </c>
      <c r="D23" s="21">
        <v>183.36</v>
      </c>
      <c r="E23" s="22">
        <v>26000.0</v>
      </c>
      <c r="F23" s="17">
        <v>200000.0</v>
      </c>
      <c r="G23" s="31" t="s">
        <v>72</v>
      </c>
      <c r="H23" s="36" t="s">
        <v>73</v>
      </c>
      <c r="I23" s="21" t="s">
        <v>74</v>
      </c>
      <c r="J23" s="18" t="s">
        <v>9</v>
      </c>
      <c r="K23" s="18">
        <v>0.0</v>
      </c>
      <c r="L23" s="19" t="s">
        <v>75</v>
      </c>
    </row>
    <row r="24" ht="15.75" customHeight="1">
      <c r="A24" s="15">
        <f t="shared" si="1"/>
        <v>23</v>
      </c>
      <c r="B24" s="16" t="s">
        <v>14</v>
      </c>
      <c r="C24" s="32" t="s">
        <v>71</v>
      </c>
      <c r="D24" s="21">
        <v>183.36</v>
      </c>
      <c r="E24" s="22">
        <v>26000.0</v>
      </c>
      <c r="F24" s="17">
        <v>700000.0</v>
      </c>
      <c r="G24" s="31" t="s">
        <v>72</v>
      </c>
      <c r="H24" s="36" t="s">
        <v>73</v>
      </c>
      <c r="I24" s="21" t="s">
        <v>74</v>
      </c>
      <c r="J24" s="18" t="s">
        <v>9</v>
      </c>
      <c r="K24" s="18">
        <v>0.0</v>
      </c>
      <c r="L24" s="19" t="s">
        <v>76</v>
      </c>
    </row>
    <row r="25" ht="15.75" customHeight="1">
      <c r="A25" s="15">
        <f t="shared" si="1"/>
        <v>24</v>
      </c>
      <c r="B25" s="16">
        <v>45974.0</v>
      </c>
      <c r="C25" s="32" t="s">
        <v>71</v>
      </c>
      <c r="D25" s="21">
        <v>183.36</v>
      </c>
      <c r="E25" s="22">
        <v>26000.0</v>
      </c>
      <c r="F25" s="17">
        <v>229200.0</v>
      </c>
      <c r="G25" s="31" t="s">
        <v>72</v>
      </c>
      <c r="H25" s="36" t="s">
        <v>73</v>
      </c>
      <c r="I25" s="21" t="s">
        <v>74</v>
      </c>
      <c r="J25" s="18">
        <v>0.0</v>
      </c>
      <c r="K25" s="18" t="s">
        <v>77</v>
      </c>
      <c r="L25" s="19" t="s">
        <v>78</v>
      </c>
    </row>
    <row r="26" ht="15.75" customHeight="1">
      <c r="A26" s="15">
        <f t="shared" si="1"/>
        <v>25</v>
      </c>
      <c r="B26" s="16" t="s">
        <v>57</v>
      </c>
      <c r="C26" s="32" t="s">
        <v>71</v>
      </c>
      <c r="D26" s="21">
        <v>183.36</v>
      </c>
      <c r="E26" s="22">
        <v>26000.0</v>
      </c>
      <c r="F26" s="17">
        <v>62640.0</v>
      </c>
      <c r="G26" s="31" t="s">
        <v>72</v>
      </c>
      <c r="H26" s="36" t="s">
        <v>73</v>
      </c>
      <c r="I26" s="21" t="s">
        <v>74</v>
      </c>
      <c r="J26" s="18" t="s">
        <v>9</v>
      </c>
      <c r="K26" s="18">
        <v>0.0</v>
      </c>
      <c r="L26" s="19" t="s">
        <v>79</v>
      </c>
    </row>
    <row r="27" ht="15.75" customHeight="1">
      <c r="A27" s="15">
        <f t="shared" si="1"/>
        <v>26</v>
      </c>
      <c r="B27" s="18" t="s">
        <v>80</v>
      </c>
      <c r="C27" s="20">
        <v>595.0</v>
      </c>
      <c r="D27" s="21">
        <v>493.75</v>
      </c>
      <c r="E27" s="22">
        <v>27000.0</v>
      </c>
      <c r="F27" s="17">
        <v>200000.0</v>
      </c>
      <c r="G27" s="37" t="s">
        <v>81</v>
      </c>
      <c r="H27" s="36" t="s">
        <v>82</v>
      </c>
      <c r="I27" s="38" t="s">
        <v>83</v>
      </c>
      <c r="J27" s="18" t="s">
        <v>84</v>
      </c>
      <c r="K27" s="18">
        <v>0.0</v>
      </c>
      <c r="L27" s="19" t="s">
        <v>85</v>
      </c>
    </row>
    <row r="28" ht="15.75" customHeight="1">
      <c r="A28" s="15">
        <f t="shared" si="1"/>
        <v>27</v>
      </c>
      <c r="B28" s="18" t="s">
        <v>86</v>
      </c>
      <c r="C28" s="20">
        <v>595.0</v>
      </c>
      <c r="D28" s="21">
        <v>493.75</v>
      </c>
      <c r="E28" s="22">
        <v>27000.0</v>
      </c>
      <c r="F28" s="17">
        <v>3498000.0</v>
      </c>
      <c r="G28" s="37" t="s">
        <v>81</v>
      </c>
      <c r="H28" s="36" t="s">
        <v>82</v>
      </c>
      <c r="I28" s="38" t="s">
        <v>83</v>
      </c>
      <c r="J28" s="18" t="s">
        <v>87</v>
      </c>
      <c r="K28" s="18">
        <v>0.0</v>
      </c>
      <c r="L28" s="19" t="s">
        <v>88</v>
      </c>
    </row>
    <row r="29" ht="15.75" customHeight="1">
      <c r="A29" s="15">
        <f t="shared" si="1"/>
        <v>28</v>
      </c>
      <c r="B29" s="18" t="s">
        <v>86</v>
      </c>
      <c r="C29" s="20">
        <v>595.0</v>
      </c>
      <c r="D29" s="21">
        <v>493.75</v>
      </c>
      <c r="E29" s="22">
        <v>27000.0</v>
      </c>
      <c r="F29" s="17">
        <v>5125.0</v>
      </c>
      <c r="G29" s="37" t="s">
        <v>81</v>
      </c>
      <c r="H29" s="36" t="s">
        <v>82</v>
      </c>
      <c r="I29" s="38" t="s">
        <v>83</v>
      </c>
      <c r="J29" s="18">
        <v>0.0</v>
      </c>
      <c r="K29" s="21" t="s">
        <v>89</v>
      </c>
      <c r="L29" s="19" t="s">
        <v>90</v>
      </c>
    </row>
    <row r="30" ht="15.75" customHeight="1">
      <c r="A30" s="15">
        <f t="shared" si="1"/>
        <v>29</v>
      </c>
      <c r="B30" s="18" t="s">
        <v>86</v>
      </c>
      <c r="C30" s="20">
        <v>595.0</v>
      </c>
      <c r="D30" s="21">
        <v>493.75</v>
      </c>
      <c r="E30" s="22">
        <v>27000.0</v>
      </c>
      <c r="F30" s="17">
        <v>822916.0</v>
      </c>
      <c r="G30" s="37" t="s">
        <v>81</v>
      </c>
      <c r="H30" s="36" t="s">
        <v>82</v>
      </c>
      <c r="I30" s="38" t="s">
        <v>83</v>
      </c>
      <c r="J30" s="18">
        <v>0.0</v>
      </c>
      <c r="K30" s="21" t="s">
        <v>91</v>
      </c>
      <c r="L30" s="19" t="s">
        <v>92</v>
      </c>
    </row>
    <row r="31" ht="15.75" customHeight="1">
      <c r="A31" s="15">
        <f t="shared" si="1"/>
        <v>30</v>
      </c>
      <c r="B31" s="18" t="s">
        <v>80</v>
      </c>
      <c r="C31" s="18">
        <v>258.0</v>
      </c>
      <c r="D31" s="21">
        <v>366.73</v>
      </c>
      <c r="E31" s="22">
        <v>27000.0</v>
      </c>
      <c r="F31" s="17">
        <v>75000.0</v>
      </c>
      <c r="G31" s="31" t="s">
        <v>93</v>
      </c>
      <c r="H31" s="31">
        <v>0.0</v>
      </c>
      <c r="I31" s="31">
        <v>0.0</v>
      </c>
      <c r="J31" s="18">
        <v>0.0</v>
      </c>
      <c r="K31" s="21" t="s">
        <v>94</v>
      </c>
      <c r="L31" s="19" t="s">
        <v>95</v>
      </c>
    </row>
    <row r="32" ht="15.75" customHeight="1">
      <c r="A32" s="15">
        <f t="shared" si="1"/>
        <v>31</v>
      </c>
      <c r="B32" s="18" t="s">
        <v>14</v>
      </c>
      <c r="C32" s="18">
        <v>258.0</v>
      </c>
      <c r="D32" s="21">
        <v>366.73</v>
      </c>
      <c r="E32" s="22">
        <v>27000.0</v>
      </c>
      <c r="F32" s="17">
        <v>25000.0</v>
      </c>
      <c r="G32" s="31" t="s">
        <v>93</v>
      </c>
      <c r="H32" s="31">
        <v>0.0</v>
      </c>
      <c r="I32" s="31">
        <v>0.0</v>
      </c>
      <c r="J32" s="18">
        <v>0.0</v>
      </c>
      <c r="K32" s="21" t="s">
        <v>96</v>
      </c>
      <c r="L32" s="19" t="s">
        <v>97</v>
      </c>
    </row>
    <row r="33" ht="15.75" customHeight="1">
      <c r="A33" s="15">
        <f t="shared" si="1"/>
        <v>32</v>
      </c>
      <c r="B33" s="18" t="s">
        <v>14</v>
      </c>
      <c r="C33" s="18">
        <v>258.0</v>
      </c>
      <c r="D33" s="21">
        <v>366.73</v>
      </c>
      <c r="E33" s="22">
        <v>27000.0</v>
      </c>
      <c r="F33" s="17">
        <v>500000.0</v>
      </c>
      <c r="G33" s="31" t="s">
        <v>93</v>
      </c>
      <c r="H33" s="31">
        <v>0.0</v>
      </c>
      <c r="I33" s="31">
        <v>0.0</v>
      </c>
      <c r="J33" s="18">
        <v>0.0</v>
      </c>
      <c r="K33" s="21" t="s">
        <v>98</v>
      </c>
      <c r="L33" s="19" t="s">
        <v>97</v>
      </c>
    </row>
    <row r="34" ht="15.75" customHeight="1">
      <c r="A34" s="15">
        <f t="shared" si="1"/>
        <v>33</v>
      </c>
      <c r="B34" s="18" t="s">
        <v>19</v>
      </c>
      <c r="C34" s="18">
        <v>258.0</v>
      </c>
      <c r="D34" s="21">
        <v>366.73</v>
      </c>
      <c r="E34" s="22">
        <v>27000.0</v>
      </c>
      <c r="F34" s="17">
        <v>300000.0</v>
      </c>
      <c r="G34" s="31" t="s">
        <v>93</v>
      </c>
      <c r="H34" s="31">
        <v>0.0</v>
      </c>
      <c r="I34" s="31">
        <v>0.0</v>
      </c>
      <c r="J34" s="18">
        <v>0.0</v>
      </c>
      <c r="K34" s="21" t="s">
        <v>99</v>
      </c>
      <c r="L34" s="19" t="s">
        <v>100</v>
      </c>
    </row>
    <row r="35" ht="15.75" customHeight="1">
      <c r="A35" s="15">
        <f t="shared" si="1"/>
        <v>34</v>
      </c>
      <c r="B35" s="16">
        <v>45987.0</v>
      </c>
      <c r="C35" s="18">
        <v>258.0</v>
      </c>
      <c r="D35" s="21">
        <v>366.73</v>
      </c>
      <c r="E35" s="22">
        <v>27000.0</v>
      </c>
      <c r="F35" s="17">
        <v>450000.0</v>
      </c>
      <c r="G35" s="31" t="s">
        <v>93</v>
      </c>
      <c r="H35" s="31">
        <v>0.0</v>
      </c>
      <c r="I35" s="31">
        <v>0.0</v>
      </c>
      <c r="J35" s="18">
        <v>0.0</v>
      </c>
      <c r="K35" s="21" t="s">
        <v>101</v>
      </c>
      <c r="L35" s="19" t="s">
        <v>102</v>
      </c>
    </row>
    <row r="36" ht="15.75" customHeight="1">
      <c r="A36" s="15">
        <f t="shared" si="1"/>
        <v>35</v>
      </c>
      <c r="B36" s="16">
        <v>45988.0</v>
      </c>
      <c r="C36" s="18">
        <v>258.0</v>
      </c>
      <c r="D36" s="21">
        <v>366.73</v>
      </c>
      <c r="E36" s="22">
        <v>27000.0</v>
      </c>
      <c r="F36" s="17">
        <v>450000.0</v>
      </c>
      <c r="G36" s="31" t="s">
        <v>93</v>
      </c>
      <c r="H36" s="31">
        <v>0.0</v>
      </c>
      <c r="I36" s="31">
        <v>0.0</v>
      </c>
      <c r="J36" s="18">
        <v>0.0</v>
      </c>
      <c r="K36" s="21" t="s">
        <v>103</v>
      </c>
      <c r="L36" s="19" t="s">
        <v>104</v>
      </c>
    </row>
    <row r="37" ht="18.75" customHeight="1">
      <c r="A37" s="15">
        <f t="shared" si="1"/>
        <v>36</v>
      </c>
      <c r="B37" s="18" t="s">
        <v>105</v>
      </c>
      <c r="C37" s="21" t="s">
        <v>106</v>
      </c>
      <c r="D37" s="21" t="s">
        <v>107</v>
      </c>
      <c r="E37" s="22">
        <v>25800.0</v>
      </c>
      <c r="F37" s="17">
        <f>54000</f>
        <v>54000</v>
      </c>
      <c r="G37" s="31" t="s">
        <v>108</v>
      </c>
      <c r="H37" s="33" t="s">
        <v>109</v>
      </c>
      <c r="I37" s="21" t="s">
        <v>110</v>
      </c>
      <c r="J37" s="18">
        <v>0.0</v>
      </c>
      <c r="K37" s="21" t="s">
        <v>111</v>
      </c>
      <c r="L37" s="19" t="s">
        <v>112</v>
      </c>
    </row>
    <row r="38" ht="18.75" customHeight="1">
      <c r="A38" s="15">
        <f t="shared" si="1"/>
        <v>37</v>
      </c>
      <c r="B38" s="16">
        <v>45983.0</v>
      </c>
      <c r="C38" s="21" t="s">
        <v>106</v>
      </c>
      <c r="D38" s="21" t="s">
        <v>107</v>
      </c>
      <c r="E38" s="22">
        <v>25800.0</v>
      </c>
      <c r="F38" s="17">
        <v>2800000.0</v>
      </c>
      <c r="G38" s="31" t="s">
        <v>108</v>
      </c>
      <c r="H38" s="33" t="s">
        <v>109</v>
      </c>
      <c r="I38" s="21" t="s">
        <v>110</v>
      </c>
      <c r="J38" s="18" t="s">
        <v>67</v>
      </c>
      <c r="K38" s="21">
        <v>0.0</v>
      </c>
      <c r="L38" s="19" t="s">
        <v>113</v>
      </c>
    </row>
    <row r="39" ht="18.75" customHeight="1">
      <c r="A39" s="15">
        <f t="shared" si="1"/>
        <v>38</v>
      </c>
      <c r="B39" s="16">
        <v>45983.0</v>
      </c>
      <c r="C39" s="21" t="s">
        <v>106</v>
      </c>
      <c r="D39" s="21" t="s">
        <v>107</v>
      </c>
      <c r="E39" s="22">
        <v>25800.0</v>
      </c>
      <c r="F39" s="17">
        <v>200000.0</v>
      </c>
      <c r="G39" s="31" t="s">
        <v>108</v>
      </c>
      <c r="H39" s="33" t="s">
        <v>109</v>
      </c>
      <c r="I39" s="21" t="s">
        <v>110</v>
      </c>
      <c r="J39" s="18">
        <v>0.0</v>
      </c>
      <c r="K39" s="21" t="s">
        <v>114</v>
      </c>
      <c r="L39" s="19" t="s">
        <v>115</v>
      </c>
    </row>
    <row r="40" ht="18.75" customHeight="1">
      <c r="A40" s="15">
        <f t="shared" si="1"/>
        <v>39</v>
      </c>
      <c r="B40" s="16">
        <v>45985.0</v>
      </c>
      <c r="C40" s="21" t="s">
        <v>106</v>
      </c>
      <c r="D40" s="21" t="s">
        <v>107</v>
      </c>
      <c r="E40" s="22">
        <v>25800.0</v>
      </c>
      <c r="F40" s="17">
        <v>1000000.0</v>
      </c>
      <c r="G40" s="31" t="s">
        <v>108</v>
      </c>
      <c r="H40" s="33" t="s">
        <v>109</v>
      </c>
      <c r="I40" s="21" t="s">
        <v>110</v>
      </c>
      <c r="J40" s="18" t="s">
        <v>67</v>
      </c>
      <c r="K40" s="21">
        <v>0.0</v>
      </c>
      <c r="L40" s="19" t="s">
        <v>116</v>
      </c>
    </row>
    <row r="41" ht="18.75" customHeight="1">
      <c r="A41" s="15">
        <f t="shared" si="1"/>
        <v>40</v>
      </c>
      <c r="B41" s="16">
        <v>45985.0</v>
      </c>
      <c r="C41" s="21" t="s">
        <v>106</v>
      </c>
      <c r="D41" s="21" t="s">
        <v>107</v>
      </c>
      <c r="E41" s="22">
        <v>25800.0</v>
      </c>
      <c r="F41" s="17">
        <v>500000.0</v>
      </c>
      <c r="G41" s="31" t="s">
        <v>108</v>
      </c>
      <c r="H41" s="33" t="s">
        <v>109</v>
      </c>
      <c r="I41" s="21" t="s">
        <v>110</v>
      </c>
      <c r="J41" s="18" t="s">
        <v>67</v>
      </c>
      <c r="K41" s="21">
        <v>0.0</v>
      </c>
      <c r="L41" s="19" t="s">
        <v>117</v>
      </c>
    </row>
    <row r="42" ht="18.75" customHeight="1">
      <c r="A42" s="15">
        <f t="shared" si="1"/>
        <v>41</v>
      </c>
      <c r="B42" s="16">
        <v>45990.0</v>
      </c>
      <c r="C42" s="21" t="s">
        <v>106</v>
      </c>
      <c r="D42" s="21" t="s">
        <v>107</v>
      </c>
      <c r="E42" s="22">
        <v>25800.0</v>
      </c>
      <c r="F42" s="17">
        <v>1000000.0</v>
      </c>
      <c r="G42" s="31" t="s">
        <v>108</v>
      </c>
      <c r="H42" s="33" t="s">
        <v>109</v>
      </c>
      <c r="I42" s="21" t="s">
        <v>110</v>
      </c>
      <c r="J42" s="18" t="s">
        <v>67</v>
      </c>
      <c r="K42" s="21">
        <v>0.0</v>
      </c>
      <c r="L42" s="19" t="s">
        <v>118</v>
      </c>
    </row>
    <row r="43" ht="18.75" customHeight="1">
      <c r="A43" s="15">
        <f t="shared" si="1"/>
        <v>42</v>
      </c>
      <c r="B43" s="16">
        <v>45990.0</v>
      </c>
      <c r="C43" s="21" t="s">
        <v>106</v>
      </c>
      <c r="D43" s="21" t="s">
        <v>107</v>
      </c>
      <c r="E43" s="22">
        <v>25800.0</v>
      </c>
      <c r="F43" s="17">
        <v>650000.0</v>
      </c>
      <c r="G43" s="31" t="s">
        <v>108</v>
      </c>
      <c r="H43" s="33" t="s">
        <v>109</v>
      </c>
      <c r="I43" s="21" t="s">
        <v>110</v>
      </c>
      <c r="J43" s="18" t="s">
        <v>67</v>
      </c>
      <c r="K43" s="21">
        <v>0.0</v>
      </c>
      <c r="L43" s="19" t="s">
        <v>119</v>
      </c>
    </row>
    <row r="44" ht="18.75" customHeight="1">
      <c r="A44" s="15">
        <f t="shared" si="1"/>
        <v>43</v>
      </c>
      <c r="B44" s="16">
        <v>45997.0</v>
      </c>
      <c r="C44" s="21" t="s">
        <v>106</v>
      </c>
      <c r="D44" s="21" t="s">
        <v>107</v>
      </c>
      <c r="E44" s="22">
        <v>25800.0</v>
      </c>
      <c r="F44" s="17">
        <v>1000000.0</v>
      </c>
      <c r="G44" s="31" t="s">
        <v>108</v>
      </c>
      <c r="H44" s="33" t="s">
        <v>109</v>
      </c>
      <c r="I44" s="21" t="s">
        <v>110</v>
      </c>
      <c r="J44" s="18" t="s">
        <v>67</v>
      </c>
      <c r="K44" s="21">
        <v>0.0</v>
      </c>
      <c r="L44" s="39" t="s">
        <v>120</v>
      </c>
    </row>
    <row r="45" ht="18.75" customHeight="1">
      <c r="A45" s="15">
        <f t="shared" si="1"/>
        <v>44</v>
      </c>
      <c r="B45" s="16">
        <v>45997.0</v>
      </c>
      <c r="C45" s="21" t="s">
        <v>106</v>
      </c>
      <c r="D45" s="21" t="s">
        <v>107</v>
      </c>
      <c r="E45" s="22">
        <v>25800.0</v>
      </c>
      <c r="F45" s="17">
        <v>296000.0</v>
      </c>
      <c r="G45" s="31" t="s">
        <v>108</v>
      </c>
      <c r="H45" s="33" t="s">
        <v>109</v>
      </c>
      <c r="I45" s="21" t="s">
        <v>110</v>
      </c>
      <c r="J45" s="18" t="s">
        <v>67</v>
      </c>
      <c r="K45" s="21">
        <v>0.0</v>
      </c>
      <c r="L45" s="39" t="s">
        <v>121</v>
      </c>
    </row>
    <row r="46" ht="15.75" customHeight="1">
      <c r="A46" s="15">
        <f t="shared" si="1"/>
        <v>45</v>
      </c>
      <c r="B46" s="18" t="s">
        <v>105</v>
      </c>
      <c r="C46" s="20">
        <v>349.0</v>
      </c>
      <c r="D46" s="21" t="s">
        <v>122</v>
      </c>
      <c r="E46" s="22">
        <v>26500.0</v>
      </c>
      <c r="F46" s="17">
        <v>54000.0</v>
      </c>
      <c r="G46" s="31" t="s">
        <v>123</v>
      </c>
      <c r="H46" s="33" t="s">
        <v>124</v>
      </c>
      <c r="I46" s="21" t="s">
        <v>125</v>
      </c>
      <c r="J46" s="18">
        <v>0.0</v>
      </c>
      <c r="K46" s="21" t="s">
        <v>126</v>
      </c>
      <c r="L46" s="19" t="s">
        <v>127</v>
      </c>
    </row>
    <row r="47" ht="15.75" customHeight="1">
      <c r="A47" s="15">
        <f t="shared" si="1"/>
        <v>46</v>
      </c>
      <c r="B47" s="16">
        <v>45988.0</v>
      </c>
      <c r="C47" s="20">
        <v>349.0</v>
      </c>
      <c r="D47" s="21" t="s">
        <v>122</v>
      </c>
      <c r="E47" s="22">
        <v>26500.0</v>
      </c>
      <c r="F47" s="17">
        <v>229625.0</v>
      </c>
      <c r="G47" s="31" t="s">
        <v>123</v>
      </c>
      <c r="H47" s="33" t="s">
        <v>124</v>
      </c>
      <c r="I47" s="21" t="s">
        <v>125</v>
      </c>
      <c r="J47" s="18">
        <v>0.0</v>
      </c>
      <c r="K47" s="21" t="s">
        <v>128</v>
      </c>
      <c r="L47" s="19" t="s">
        <v>129</v>
      </c>
    </row>
    <row r="48" ht="15.75" customHeight="1">
      <c r="A48" s="15">
        <f t="shared" si="1"/>
        <v>47</v>
      </c>
      <c r="B48" s="16">
        <v>45988.0</v>
      </c>
      <c r="C48" s="20">
        <v>349.0</v>
      </c>
      <c r="D48" s="21" t="s">
        <v>122</v>
      </c>
      <c r="E48" s="22">
        <v>26500.0</v>
      </c>
      <c r="F48" s="17">
        <v>500000.0</v>
      </c>
      <c r="G48" s="31" t="s">
        <v>123</v>
      </c>
      <c r="H48" s="33" t="s">
        <v>124</v>
      </c>
      <c r="I48" s="21" t="s">
        <v>125</v>
      </c>
      <c r="J48" s="18">
        <v>0.0</v>
      </c>
      <c r="K48" s="21" t="s">
        <v>130</v>
      </c>
      <c r="L48" s="19" t="s">
        <v>131</v>
      </c>
    </row>
    <row r="49" ht="15.75" customHeight="1">
      <c r="A49" s="15">
        <f t="shared" si="1"/>
        <v>48</v>
      </c>
      <c r="B49" s="16">
        <v>45988.0</v>
      </c>
      <c r="C49" s="20">
        <v>349.0</v>
      </c>
      <c r="D49" s="21" t="s">
        <v>122</v>
      </c>
      <c r="E49" s="22">
        <v>26500.0</v>
      </c>
      <c r="F49" s="17">
        <v>376750.0</v>
      </c>
      <c r="G49" s="31" t="s">
        <v>123</v>
      </c>
      <c r="H49" s="33" t="s">
        <v>124</v>
      </c>
      <c r="I49" s="21" t="s">
        <v>125</v>
      </c>
      <c r="J49" s="18">
        <v>0.0</v>
      </c>
      <c r="K49" s="21" t="s">
        <v>132</v>
      </c>
      <c r="L49" s="19" t="s">
        <v>133</v>
      </c>
    </row>
    <row r="50" ht="15.75" customHeight="1">
      <c r="A50" s="15">
        <f t="shared" si="1"/>
        <v>49</v>
      </c>
      <c r="B50" s="16">
        <v>45988.0</v>
      </c>
      <c r="C50" s="20">
        <v>349.0</v>
      </c>
      <c r="D50" s="21" t="s">
        <v>122</v>
      </c>
      <c r="E50" s="22">
        <v>26500.0</v>
      </c>
      <c r="F50" s="17">
        <v>221000.0</v>
      </c>
      <c r="G50" s="31" t="s">
        <v>123</v>
      </c>
      <c r="H50" s="33" t="s">
        <v>124</v>
      </c>
      <c r="I50" s="21" t="s">
        <v>125</v>
      </c>
      <c r="J50" s="18">
        <v>0.0</v>
      </c>
      <c r="K50" s="21" t="s">
        <v>132</v>
      </c>
      <c r="L50" s="19" t="s">
        <v>134</v>
      </c>
    </row>
    <row r="51" ht="15.75" customHeight="1">
      <c r="A51" s="15">
        <f t="shared" si="1"/>
        <v>50</v>
      </c>
      <c r="B51" s="16">
        <v>45988.0</v>
      </c>
      <c r="C51" s="20">
        <v>349.0</v>
      </c>
      <c r="D51" s="21" t="s">
        <v>122</v>
      </c>
      <c r="E51" s="22">
        <v>26500.0</v>
      </c>
      <c r="F51" s="17">
        <v>426750.0</v>
      </c>
      <c r="G51" s="31" t="s">
        <v>123</v>
      </c>
      <c r="H51" s="33" t="s">
        <v>124</v>
      </c>
      <c r="I51" s="21" t="s">
        <v>125</v>
      </c>
      <c r="J51" s="18">
        <v>0.0</v>
      </c>
      <c r="K51" s="21" t="s">
        <v>135</v>
      </c>
      <c r="L51" s="19" t="s">
        <v>136</v>
      </c>
    </row>
    <row r="52" ht="15.75" customHeight="1">
      <c r="A52" s="15">
        <f t="shared" si="1"/>
        <v>51</v>
      </c>
      <c r="B52" s="16">
        <v>45988.0</v>
      </c>
      <c r="C52" s="20">
        <v>349.0</v>
      </c>
      <c r="D52" s="21" t="s">
        <v>122</v>
      </c>
      <c r="E52" s="22">
        <v>26500.0</v>
      </c>
      <c r="F52" s="17">
        <v>123250.0</v>
      </c>
      <c r="G52" s="31" t="s">
        <v>123</v>
      </c>
      <c r="H52" s="33" t="s">
        <v>124</v>
      </c>
      <c r="I52" s="21" t="s">
        <v>125</v>
      </c>
      <c r="J52" s="18">
        <v>0.0</v>
      </c>
      <c r="K52" s="21" t="s">
        <v>137</v>
      </c>
      <c r="L52" s="19" t="s">
        <v>138</v>
      </c>
    </row>
    <row r="53" ht="15.75" customHeight="1">
      <c r="A53" s="15">
        <f t="shared" si="1"/>
        <v>52</v>
      </c>
      <c r="B53" s="16">
        <v>45988.0</v>
      </c>
      <c r="C53" s="20">
        <v>349.0</v>
      </c>
      <c r="D53" s="21" t="s">
        <v>122</v>
      </c>
      <c r="E53" s="22">
        <v>26500.0</v>
      </c>
      <c r="F53" s="17">
        <v>500000.0</v>
      </c>
      <c r="G53" s="31" t="s">
        <v>123</v>
      </c>
      <c r="H53" s="33" t="s">
        <v>124</v>
      </c>
      <c r="I53" s="21" t="s">
        <v>125</v>
      </c>
      <c r="J53" s="18">
        <v>0.0</v>
      </c>
      <c r="K53" s="21" t="s">
        <v>139</v>
      </c>
      <c r="L53" s="19" t="s">
        <v>140</v>
      </c>
    </row>
    <row r="54" ht="15.75" customHeight="1">
      <c r="A54" s="15">
        <f t="shared" si="1"/>
        <v>53</v>
      </c>
      <c r="B54" s="18" t="s">
        <v>105</v>
      </c>
      <c r="C54" s="20">
        <v>527.0</v>
      </c>
      <c r="D54" s="21" t="s">
        <v>141</v>
      </c>
      <c r="E54" s="22">
        <v>26100.0</v>
      </c>
      <c r="F54" s="17">
        <v>50000.0</v>
      </c>
      <c r="G54" s="31" t="s">
        <v>142</v>
      </c>
      <c r="H54" s="40" t="s">
        <v>143</v>
      </c>
      <c r="I54" s="38" t="s">
        <v>144</v>
      </c>
      <c r="J54" s="18">
        <v>0.0</v>
      </c>
      <c r="K54" s="21" t="s">
        <v>145</v>
      </c>
      <c r="L54" s="19" t="s">
        <v>146</v>
      </c>
    </row>
    <row r="55" ht="15.75" customHeight="1">
      <c r="A55" s="15">
        <f t="shared" si="1"/>
        <v>54</v>
      </c>
      <c r="B55" s="18" t="s">
        <v>105</v>
      </c>
      <c r="C55" s="20">
        <v>527.0</v>
      </c>
      <c r="D55" s="21" t="s">
        <v>141</v>
      </c>
      <c r="E55" s="22">
        <v>26100.0</v>
      </c>
      <c r="F55" s="17">
        <v>50000.0</v>
      </c>
      <c r="G55" s="31" t="s">
        <v>142</v>
      </c>
      <c r="H55" s="40" t="s">
        <v>143</v>
      </c>
      <c r="I55" s="38" t="s">
        <v>144</v>
      </c>
      <c r="J55" s="18">
        <v>0.0</v>
      </c>
      <c r="K55" s="21" t="s">
        <v>147</v>
      </c>
      <c r="L55" s="19" t="s">
        <v>146</v>
      </c>
    </row>
    <row r="56" ht="15.75" customHeight="1">
      <c r="A56" s="15">
        <f t="shared" si="1"/>
        <v>55</v>
      </c>
      <c r="B56" s="18" t="s">
        <v>148</v>
      </c>
      <c r="C56" s="20">
        <v>527.0</v>
      </c>
      <c r="D56" s="21" t="s">
        <v>141</v>
      </c>
      <c r="E56" s="22">
        <v>26100.0</v>
      </c>
      <c r="F56" s="17">
        <v>50000.0</v>
      </c>
      <c r="G56" s="31" t="s">
        <v>142</v>
      </c>
      <c r="H56" s="40" t="s">
        <v>143</v>
      </c>
      <c r="I56" s="38" t="s">
        <v>144</v>
      </c>
      <c r="J56" s="18">
        <v>0.0</v>
      </c>
      <c r="K56" s="21" t="s">
        <v>149</v>
      </c>
      <c r="L56" s="19" t="s">
        <v>150</v>
      </c>
    </row>
    <row r="57" ht="15.75" customHeight="1">
      <c r="A57" s="15">
        <f t="shared" si="1"/>
        <v>56</v>
      </c>
      <c r="B57" s="18" t="s">
        <v>33</v>
      </c>
      <c r="C57" s="20">
        <v>527.0</v>
      </c>
      <c r="D57" s="21" t="s">
        <v>141</v>
      </c>
      <c r="E57" s="22">
        <v>26100.0</v>
      </c>
      <c r="F57" s="17">
        <v>200000.0</v>
      </c>
      <c r="G57" s="31" t="s">
        <v>142</v>
      </c>
      <c r="H57" s="40" t="s">
        <v>143</v>
      </c>
      <c r="I57" s="38" t="s">
        <v>144</v>
      </c>
      <c r="J57" s="18">
        <v>0.0</v>
      </c>
      <c r="K57" s="41" t="s">
        <v>151</v>
      </c>
      <c r="L57" s="19" t="s">
        <v>150</v>
      </c>
    </row>
    <row r="58" ht="15.75" customHeight="1">
      <c r="A58" s="15">
        <f t="shared" si="1"/>
        <v>57</v>
      </c>
      <c r="B58" s="18" t="s">
        <v>86</v>
      </c>
      <c r="C58" s="20">
        <v>527.0</v>
      </c>
      <c r="D58" s="21" t="s">
        <v>141</v>
      </c>
      <c r="E58" s="22">
        <v>26100.0</v>
      </c>
      <c r="F58" s="17">
        <v>200000.0</v>
      </c>
      <c r="G58" s="31" t="s">
        <v>142</v>
      </c>
      <c r="H58" s="40" t="s">
        <v>143</v>
      </c>
      <c r="I58" s="38" t="s">
        <v>144</v>
      </c>
      <c r="J58" s="18">
        <v>0.0</v>
      </c>
      <c r="K58" s="41" t="s">
        <v>152</v>
      </c>
      <c r="L58" s="19" t="s">
        <v>150</v>
      </c>
    </row>
    <row r="59" ht="15.75" customHeight="1">
      <c r="A59" s="15">
        <f t="shared" si="1"/>
        <v>58</v>
      </c>
      <c r="B59" s="18" t="s">
        <v>86</v>
      </c>
      <c r="C59" s="20">
        <v>527.0</v>
      </c>
      <c r="D59" s="21" t="s">
        <v>141</v>
      </c>
      <c r="E59" s="22">
        <v>26100.0</v>
      </c>
      <c r="F59" s="17">
        <v>450000.0</v>
      </c>
      <c r="G59" s="31" t="s">
        <v>142</v>
      </c>
      <c r="H59" s="40" t="s">
        <v>143</v>
      </c>
      <c r="I59" s="38" t="s">
        <v>144</v>
      </c>
      <c r="J59" s="18">
        <v>0.0</v>
      </c>
      <c r="K59" s="41" t="s">
        <v>153</v>
      </c>
      <c r="L59" s="19" t="s">
        <v>150</v>
      </c>
    </row>
    <row r="60" ht="15.75" customHeight="1">
      <c r="A60" s="15">
        <f t="shared" si="1"/>
        <v>59</v>
      </c>
      <c r="B60" s="18" t="s">
        <v>47</v>
      </c>
      <c r="C60" s="20">
        <v>617.0</v>
      </c>
      <c r="D60" s="21" t="s">
        <v>154</v>
      </c>
      <c r="E60" s="22">
        <v>26500.0</v>
      </c>
      <c r="F60" s="17">
        <v>100000.0</v>
      </c>
      <c r="G60" s="31" t="s">
        <v>155</v>
      </c>
      <c r="H60" s="40" t="s">
        <v>156</v>
      </c>
      <c r="I60" s="38" t="s">
        <v>157</v>
      </c>
      <c r="J60" s="42">
        <v>10000.0</v>
      </c>
      <c r="K60" s="21" t="s">
        <v>158</v>
      </c>
      <c r="L60" s="19" t="s">
        <v>159</v>
      </c>
    </row>
    <row r="61" ht="15.75" customHeight="1">
      <c r="A61" s="15">
        <f t="shared" si="1"/>
        <v>60</v>
      </c>
      <c r="B61" s="18" t="s">
        <v>47</v>
      </c>
      <c r="C61" s="20">
        <v>617.0</v>
      </c>
      <c r="D61" s="21" t="s">
        <v>154</v>
      </c>
      <c r="E61" s="22">
        <v>26500.0</v>
      </c>
      <c r="F61" s="17">
        <v>100000.0</v>
      </c>
      <c r="G61" s="31" t="s">
        <v>155</v>
      </c>
      <c r="H61" s="40" t="s">
        <v>156</v>
      </c>
      <c r="I61" s="38" t="s">
        <v>157</v>
      </c>
      <c r="J61" s="42" t="s">
        <v>9</v>
      </c>
      <c r="K61" s="21">
        <v>0.0</v>
      </c>
      <c r="L61" s="19" t="s">
        <v>160</v>
      </c>
    </row>
    <row r="62" ht="15.75" customHeight="1">
      <c r="A62" s="15">
        <f t="shared" si="1"/>
        <v>61</v>
      </c>
      <c r="B62" s="16">
        <v>45974.0</v>
      </c>
      <c r="C62" s="20">
        <v>617.0</v>
      </c>
      <c r="D62" s="21" t="s">
        <v>154</v>
      </c>
      <c r="E62" s="22">
        <v>26500.0</v>
      </c>
      <c r="F62" s="17">
        <v>2107200.0</v>
      </c>
      <c r="G62" s="31" t="s">
        <v>155</v>
      </c>
      <c r="H62" s="40" t="s">
        <v>156</v>
      </c>
      <c r="I62" s="38" t="s">
        <v>157</v>
      </c>
      <c r="J62" s="42" t="s">
        <v>9</v>
      </c>
      <c r="K62" s="21">
        <v>0.0</v>
      </c>
      <c r="L62" s="19" t="s">
        <v>161</v>
      </c>
    </row>
    <row r="63" ht="15.75" customHeight="1">
      <c r="A63" s="15">
        <f t="shared" si="1"/>
        <v>62</v>
      </c>
      <c r="B63" s="18" t="s">
        <v>47</v>
      </c>
      <c r="C63" s="20">
        <v>613.0</v>
      </c>
      <c r="D63" s="21" t="s">
        <v>162</v>
      </c>
      <c r="E63" s="22">
        <v>26300.0</v>
      </c>
      <c r="F63" s="17">
        <v>200000.0</v>
      </c>
      <c r="G63" s="31" t="s">
        <v>163</v>
      </c>
      <c r="H63" s="40" t="s">
        <v>164</v>
      </c>
      <c r="I63" s="38" t="s">
        <v>165</v>
      </c>
      <c r="J63" s="18">
        <v>0.0</v>
      </c>
      <c r="K63" s="26" t="s">
        <v>166</v>
      </c>
      <c r="L63" s="19" t="s">
        <v>167</v>
      </c>
    </row>
    <row r="64" ht="15.75" customHeight="1">
      <c r="A64" s="15">
        <f t="shared" si="1"/>
        <v>63</v>
      </c>
      <c r="B64" s="16">
        <v>45974.0</v>
      </c>
      <c r="C64" s="20">
        <v>613.0</v>
      </c>
      <c r="D64" s="21" t="s">
        <v>162</v>
      </c>
      <c r="E64" s="22">
        <v>26300.0</v>
      </c>
      <c r="F64" s="17">
        <v>2500000.0</v>
      </c>
      <c r="G64" s="31" t="s">
        <v>163</v>
      </c>
      <c r="H64" s="40" t="s">
        <v>164</v>
      </c>
      <c r="I64" s="38" t="s">
        <v>165</v>
      </c>
      <c r="J64" s="18" t="s">
        <v>67</v>
      </c>
      <c r="K64" s="26">
        <v>0.0</v>
      </c>
      <c r="L64" s="19" t="s">
        <v>168</v>
      </c>
    </row>
    <row r="65" ht="15.75" customHeight="1">
      <c r="A65" s="15">
        <f t="shared" si="1"/>
        <v>64</v>
      </c>
      <c r="B65" s="18" t="s">
        <v>47</v>
      </c>
      <c r="C65" s="18">
        <v>554.0</v>
      </c>
      <c r="D65" s="21" t="s">
        <v>169</v>
      </c>
      <c r="E65" s="22">
        <v>26500.0</v>
      </c>
      <c r="F65" s="17">
        <v>121000.0</v>
      </c>
      <c r="G65" s="43" t="s">
        <v>170</v>
      </c>
      <c r="H65" s="43">
        <v>0.0</v>
      </c>
      <c r="I65" s="43">
        <v>0.0</v>
      </c>
      <c r="J65" s="18">
        <v>0.0</v>
      </c>
      <c r="K65" s="26" t="s">
        <v>171</v>
      </c>
      <c r="L65" s="19" t="s">
        <v>172</v>
      </c>
    </row>
    <row r="66" ht="15.75" customHeight="1">
      <c r="A66" s="15">
        <f t="shared" si="1"/>
        <v>65</v>
      </c>
      <c r="B66" s="18" t="s">
        <v>173</v>
      </c>
      <c r="C66" s="20">
        <v>585.0</v>
      </c>
      <c r="D66" s="21" t="s">
        <v>174</v>
      </c>
      <c r="E66" s="22">
        <v>26300.0</v>
      </c>
      <c r="F66" s="17">
        <v>100000.0</v>
      </c>
      <c r="G66" s="31" t="s">
        <v>175</v>
      </c>
      <c r="H66" s="40" t="s">
        <v>176</v>
      </c>
      <c r="I66" s="38" t="s">
        <v>177</v>
      </c>
      <c r="J66" s="18">
        <v>0.0</v>
      </c>
      <c r="K66" s="44" t="s">
        <v>178</v>
      </c>
      <c r="L66" s="19" t="s">
        <v>179</v>
      </c>
    </row>
    <row r="67" ht="15.75" customHeight="1">
      <c r="A67" s="15">
        <f t="shared" si="1"/>
        <v>66</v>
      </c>
      <c r="B67" s="18" t="s">
        <v>173</v>
      </c>
      <c r="C67" s="20">
        <v>585.0</v>
      </c>
      <c r="D67" s="21" t="s">
        <v>174</v>
      </c>
      <c r="E67" s="22">
        <v>26300.0</v>
      </c>
      <c r="F67" s="17">
        <v>100000.0</v>
      </c>
      <c r="G67" s="31" t="s">
        <v>175</v>
      </c>
      <c r="H67" s="40" t="s">
        <v>176</v>
      </c>
      <c r="I67" s="38" t="s">
        <v>177</v>
      </c>
      <c r="J67" s="18">
        <v>0.0</v>
      </c>
      <c r="K67" s="45" t="s">
        <v>180</v>
      </c>
      <c r="L67" s="19" t="s">
        <v>179</v>
      </c>
    </row>
    <row r="68" ht="15.75" customHeight="1">
      <c r="A68" s="15">
        <f t="shared" si="1"/>
        <v>67</v>
      </c>
      <c r="B68" s="46">
        <v>45971.0</v>
      </c>
      <c r="C68" s="20">
        <v>585.0</v>
      </c>
      <c r="D68" s="21" t="s">
        <v>174</v>
      </c>
      <c r="E68" s="22">
        <v>26300.0</v>
      </c>
      <c r="F68" s="47">
        <v>40000.0</v>
      </c>
      <c r="G68" s="31" t="s">
        <v>175</v>
      </c>
      <c r="H68" s="40" t="s">
        <v>176</v>
      </c>
      <c r="I68" s="38" t="s">
        <v>177</v>
      </c>
      <c r="J68" s="18">
        <v>0.0</v>
      </c>
      <c r="K68" s="26" t="s">
        <v>181</v>
      </c>
      <c r="L68" s="19" t="s">
        <v>182</v>
      </c>
    </row>
    <row r="69" ht="15.75" customHeight="1">
      <c r="A69" s="15">
        <f t="shared" si="1"/>
        <v>68</v>
      </c>
      <c r="B69" s="16">
        <v>45973.0</v>
      </c>
      <c r="C69" s="20">
        <v>585.0</v>
      </c>
      <c r="D69" s="21" t="s">
        <v>174</v>
      </c>
      <c r="E69" s="22">
        <v>26300.0</v>
      </c>
      <c r="F69" s="17">
        <v>600000.0</v>
      </c>
      <c r="G69" s="31" t="s">
        <v>175</v>
      </c>
      <c r="H69" s="40" t="s">
        <v>176</v>
      </c>
      <c r="I69" s="38" t="s">
        <v>177</v>
      </c>
      <c r="J69" s="18">
        <v>0.0</v>
      </c>
      <c r="K69" s="26" t="s">
        <v>183</v>
      </c>
      <c r="L69" s="19" t="s">
        <v>182</v>
      </c>
    </row>
    <row r="70" ht="15.75" customHeight="1">
      <c r="A70" s="15">
        <f t="shared" si="1"/>
        <v>69</v>
      </c>
      <c r="B70" s="16">
        <v>45973.0</v>
      </c>
      <c r="C70" s="20">
        <v>585.0</v>
      </c>
      <c r="D70" s="21" t="s">
        <v>174</v>
      </c>
      <c r="E70" s="22">
        <v>26300.0</v>
      </c>
      <c r="F70" s="17">
        <v>300000.0</v>
      </c>
      <c r="G70" s="31" t="s">
        <v>175</v>
      </c>
      <c r="H70" s="40" t="s">
        <v>176</v>
      </c>
      <c r="I70" s="38" t="s">
        <v>177</v>
      </c>
      <c r="J70" s="18">
        <v>0.0</v>
      </c>
      <c r="K70" s="26" t="s">
        <v>184</v>
      </c>
      <c r="L70" s="19" t="s">
        <v>182</v>
      </c>
    </row>
    <row r="71" ht="15.75" customHeight="1">
      <c r="A71" s="15">
        <f t="shared" si="1"/>
        <v>70</v>
      </c>
      <c r="B71" s="48" t="s">
        <v>185</v>
      </c>
      <c r="C71" s="49">
        <v>553.0</v>
      </c>
      <c r="D71" s="29">
        <v>183.36</v>
      </c>
      <c r="E71" s="50">
        <v>25000.0</v>
      </c>
      <c r="F71" s="17">
        <v>100000.0</v>
      </c>
      <c r="G71" s="34" t="s">
        <v>186</v>
      </c>
      <c r="H71" s="40" t="s">
        <v>187</v>
      </c>
      <c r="I71" s="38" t="s">
        <v>188</v>
      </c>
      <c r="J71" s="48" t="s">
        <v>9</v>
      </c>
      <c r="K71" s="48">
        <v>0.0</v>
      </c>
      <c r="L71" s="51" t="s">
        <v>189</v>
      </c>
    </row>
    <row r="72" ht="15.75" customHeight="1">
      <c r="A72" s="15">
        <f t="shared" si="1"/>
        <v>71</v>
      </c>
      <c r="B72" s="48" t="s">
        <v>190</v>
      </c>
      <c r="C72" s="49">
        <v>553.0</v>
      </c>
      <c r="D72" s="29">
        <v>183.36</v>
      </c>
      <c r="E72" s="50">
        <v>25000.0</v>
      </c>
      <c r="F72" s="17">
        <v>100000.0</v>
      </c>
      <c r="G72" s="34" t="s">
        <v>186</v>
      </c>
      <c r="H72" s="40" t="s">
        <v>187</v>
      </c>
      <c r="I72" s="38" t="s">
        <v>188</v>
      </c>
      <c r="J72" s="48" t="s">
        <v>9</v>
      </c>
      <c r="K72" s="48">
        <v>0.0</v>
      </c>
      <c r="L72" s="51" t="s">
        <v>191</v>
      </c>
    </row>
    <row r="73" ht="15.75" customHeight="1">
      <c r="A73" s="15">
        <f t="shared" si="1"/>
        <v>72</v>
      </c>
      <c r="B73" s="48" t="s">
        <v>148</v>
      </c>
      <c r="C73" s="49">
        <v>553.0</v>
      </c>
      <c r="D73" s="29">
        <v>183.36</v>
      </c>
      <c r="E73" s="50">
        <v>25000.0</v>
      </c>
      <c r="F73" s="17">
        <v>700000.0</v>
      </c>
      <c r="G73" s="34" t="s">
        <v>186</v>
      </c>
      <c r="H73" s="40" t="s">
        <v>187</v>
      </c>
      <c r="I73" s="38" t="s">
        <v>188</v>
      </c>
      <c r="J73" s="48" t="s">
        <v>9</v>
      </c>
      <c r="K73" s="48">
        <v>0.0</v>
      </c>
      <c r="L73" s="51" t="s">
        <v>192</v>
      </c>
    </row>
    <row r="74" ht="15.75" customHeight="1">
      <c r="A74" s="15">
        <f t="shared" si="1"/>
        <v>73</v>
      </c>
      <c r="B74" s="48" t="s">
        <v>148</v>
      </c>
      <c r="C74" s="49">
        <v>553.0</v>
      </c>
      <c r="D74" s="29">
        <v>183.36</v>
      </c>
      <c r="E74" s="50">
        <v>25000.0</v>
      </c>
      <c r="F74" s="17">
        <v>500000.0</v>
      </c>
      <c r="G74" s="34" t="s">
        <v>186</v>
      </c>
      <c r="H74" s="40" t="s">
        <v>187</v>
      </c>
      <c r="I74" s="38" t="s">
        <v>188</v>
      </c>
      <c r="J74" s="48" t="s">
        <v>9</v>
      </c>
      <c r="K74" s="48">
        <v>0.0</v>
      </c>
      <c r="L74" s="51" t="s">
        <v>193</v>
      </c>
    </row>
    <row r="75" ht="15.75" customHeight="1">
      <c r="A75" s="15">
        <f t="shared" si="1"/>
        <v>74</v>
      </c>
      <c r="B75" s="48" t="s">
        <v>148</v>
      </c>
      <c r="C75" s="49">
        <v>553.0</v>
      </c>
      <c r="D75" s="29">
        <v>183.36</v>
      </c>
      <c r="E75" s="50">
        <v>25000.0</v>
      </c>
      <c r="F75" s="17">
        <v>200000.0</v>
      </c>
      <c r="G75" s="34" t="s">
        <v>186</v>
      </c>
      <c r="H75" s="40" t="s">
        <v>187</v>
      </c>
      <c r="I75" s="38" t="s">
        <v>188</v>
      </c>
      <c r="J75" s="48">
        <v>0.0</v>
      </c>
      <c r="K75" s="29" t="s">
        <v>194</v>
      </c>
      <c r="L75" s="51" t="s">
        <v>195</v>
      </c>
    </row>
    <row r="76" ht="15.75" customHeight="1">
      <c r="A76" s="15">
        <f t="shared" si="1"/>
        <v>75</v>
      </c>
      <c r="B76" s="48" t="s">
        <v>190</v>
      </c>
      <c r="C76" s="48">
        <v>62.0</v>
      </c>
      <c r="D76" s="48">
        <v>220.06</v>
      </c>
      <c r="E76" s="48">
        <v>26300.0</v>
      </c>
      <c r="F76" s="17">
        <v>50000.0</v>
      </c>
      <c r="G76" s="34" t="s">
        <v>196</v>
      </c>
      <c r="H76" s="34">
        <v>0.0</v>
      </c>
      <c r="I76" s="34">
        <v>0.0</v>
      </c>
      <c r="J76" s="48">
        <v>0.0</v>
      </c>
      <c r="K76" s="48" t="s">
        <v>197</v>
      </c>
      <c r="L76" s="51" t="s">
        <v>198</v>
      </c>
    </row>
    <row r="77" ht="15.75" customHeight="1">
      <c r="A77" s="15">
        <f t="shared" si="1"/>
        <v>76</v>
      </c>
      <c r="B77" s="48" t="s">
        <v>190</v>
      </c>
      <c r="C77" s="48">
        <v>61.0</v>
      </c>
      <c r="D77" s="48">
        <v>220.06</v>
      </c>
      <c r="E77" s="48">
        <v>26300.0</v>
      </c>
      <c r="F77" s="17">
        <v>50000.0</v>
      </c>
      <c r="G77" s="34" t="s">
        <v>199</v>
      </c>
      <c r="H77" s="34">
        <v>0.0</v>
      </c>
      <c r="I77" s="34">
        <v>0.0</v>
      </c>
      <c r="J77" s="48">
        <v>0.0</v>
      </c>
      <c r="K77" s="48" t="s">
        <v>200</v>
      </c>
      <c r="L77" s="51" t="s">
        <v>201</v>
      </c>
    </row>
    <row r="78" ht="15.75" customHeight="1">
      <c r="A78" s="15">
        <f t="shared" si="1"/>
        <v>77</v>
      </c>
      <c r="B78" s="48" t="s">
        <v>190</v>
      </c>
      <c r="C78" s="48">
        <v>60.0</v>
      </c>
      <c r="D78" s="48">
        <v>220.06</v>
      </c>
      <c r="E78" s="48">
        <v>26300.0</v>
      </c>
      <c r="F78" s="17">
        <v>10000.0</v>
      </c>
      <c r="G78" s="34" t="s">
        <v>202</v>
      </c>
      <c r="H78" s="34">
        <v>0.0</v>
      </c>
      <c r="I78" s="34">
        <v>0.0</v>
      </c>
      <c r="J78" s="48">
        <v>0.0</v>
      </c>
      <c r="K78" s="48" t="s">
        <v>203</v>
      </c>
      <c r="L78" s="51" t="s">
        <v>204</v>
      </c>
    </row>
    <row r="79" ht="15.75" customHeight="1">
      <c r="A79" s="15">
        <f t="shared" si="1"/>
        <v>78</v>
      </c>
      <c r="B79" s="48" t="s">
        <v>205</v>
      </c>
      <c r="C79" s="49">
        <v>484.0</v>
      </c>
      <c r="D79" s="48" t="s">
        <v>141</v>
      </c>
      <c r="E79" s="48">
        <v>26300.0</v>
      </c>
      <c r="F79" s="17">
        <f>200000</f>
        <v>200000</v>
      </c>
      <c r="G79" s="34" t="s">
        <v>206</v>
      </c>
      <c r="H79" s="35" t="s">
        <v>207</v>
      </c>
      <c r="I79" s="38" t="s">
        <v>208</v>
      </c>
      <c r="J79" s="48" t="s">
        <v>9</v>
      </c>
      <c r="K79" s="48">
        <v>0.0</v>
      </c>
      <c r="L79" s="51" t="s">
        <v>209</v>
      </c>
    </row>
    <row r="80" ht="15.75" customHeight="1">
      <c r="A80" s="15">
        <f t="shared" si="1"/>
        <v>79</v>
      </c>
      <c r="B80" s="27">
        <v>45986.0</v>
      </c>
      <c r="C80" s="49">
        <v>484.0</v>
      </c>
      <c r="D80" s="48" t="s">
        <v>141</v>
      </c>
      <c r="E80" s="48">
        <v>26300.0</v>
      </c>
      <c r="F80" s="17">
        <v>400000.0</v>
      </c>
      <c r="G80" s="34" t="s">
        <v>206</v>
      </c>
      <c r="H80" s="35" t="s">
        <v>207</v>
      </c>
      <c r="I80" s="38" t="s">
        <v>208</v>
      </c>
      <c r="J80" s="48" t="s">
        <v>9</v>
      </c>
      <c r="K80" s="48">
        <v>0.0</v>
      </c>
      <c r="L80" s="51" t="s">
        <v>210</v>
      </c>
    </row>
    <row r="81" ht="15.75" customHeight="1">
      <c r="A81" s="15">
        <f t="shared" si="1"/>
        <v>80</v>
      </c>
      <c r="B81" s="27">
        <v>45986.0</v>
      </c>
      <c r="C81" s="49">
        <v>484.0</v>
      </c>
      <c r="D81" s="48" t="s">
        <v>141</v>
      </c>
      <c r="E81" s="48">
        <v>26300.0</v>
      </c>
      <c r="F81" s="17">
        <v>11184.0</v>
      </c>
      <c r="G81" s="34" t="s">
        <v>206</v>
      </c>
      <c r="H81" s="35" t="s">
        <v>207</v>
      </c>
      <c r="I81" s="38" t="s">
        <v>208</v>
      </c>
      <c r="J81" s="48">
        <v>0.0</v>
      </c>
      <c r="K81" s="48" t="s">
        <v>211</v>
      </c>
      <c r="L81" s="51" t="s">
        <v>212</v>
      </c>
    </row>
    <row r="82" ht="15.75" customHeight="1">
      <c r="A82" s="15">
        <f t="shared" si="1"/>
        <v>81</v>
      </c>
      <c r="B82" s="27">
        <v>45986.0</v>
      </c>
      <c r="C82" s="49">
        <v>484.0</v>
      </c>
      <c r="D82" s="48" t="s">
        <v>141</v>
      </c>
      <c r="E82" s="48">
        <v>26300.0</v>
      </c>
      <c r="F82" s="17">
        <v>550000.0</v>
      </c>
      <c r="G82" s="34" t="s">
        <v>206</v>
      </c>
      <c r="H82" s="35" t="s">
        <v>207</v>
      </c>
      <c r="I82" s="38" t="s">
        <v>208</v>
      </c>
      <c r="J82" s="48">
        <v>0.0</v>
      </c>
      <c r="K82" s="48" t="s">
        <v>213</v>
      </c>
      <c r="L82" s="51" t="s">
        <v>214</v>
      </c>
    </row>
    <row r="83" ht="15.75" customHeight="1">
      <c r="A83" s="15">
        <f t="shared" si="1"/>
        <v>82</v>
      </c>
      <c r="B83" s="48" t="s">
        <v>205</v>
      </c>
      <c r="C83" s="49">
        <v>485.0</v>
      </c>
      <c r="D83" s="48" t="s">
        <v>141</v>
      </c>
      <c r="E83" s="48">
        <v>26300.0</v>
      </c>
      <c r="F83" s="17">
        <f>200000</f>
        <v>200000</v>
      </c>
      <c r="G83" s="34" t="s">
        <v>206</v>
      </c>
      <c r="H83" s="35" t="s">
        <v>207</v>
      </c>
      <c r="I83" s="38" t="s">
        <v>208</v>
      </c>
      <c r="J83" s="48" t="s">
        <v>9</v>
      </c>
      <c r="K83" s="48">
        <v>0.0</v>
      </c>
      <c r="L83" s="51" t="s">
        <v>209</v>
      </c>
    </row>
    <row r="84" ht="15.75" customHeight="1">
      <c r="A84" s="15">
        <f t="shared" si="1"/>
        <v>83</v>
      </c>
      <c r="B84" s="27">
        <v>45986.0</v>
      </c>
      <c r="C84" s="49">
        <v>485.0</v>
      </c>
      <c r="D84" s="48" t="s">
        <v>141</v>
      </c>
      <c r="E84" s="48">
        <v>26300.0</v>
      </c>
      <c r="F84" s="17">
        <v>1000000.0</v>
      </c>
      <c r="G84" s="34" t="s">
        <v>206</v>
      </c>
      <c r="H84" s="35" t="s">
        <v>207</v>
      </c>
      <c r="I84" s="38" t="s">
        <v>208</v>
      </c>
      <c r="J84" s="48" t="s">
        <v>9</v>
      </c>
      <c r="K84" s="48">
        <v>0.0</v>
      </c>
      <c r="L84" s="51" t="s">
        <v>116</v>
      </c>
    </row>
    <row r="85" ht="15.75" customHeight="1">
      <c r="A85" s="15">
        <f t="shared" si="1"/>
        <v>84</v>
      </c>
      <c r="B85" s="27">
        <v>45986.0</v>
      </c>
      <c r="C85" s="49">
        <v>485.0</v>
      </c>
      <c r="D85" s="48" t="s">
        <v>141</v>
      </c>
      <c r="E85" s="48">
        <v>26300.0</v>
      </c>
      <c r="F85" s="17">
        <v>50000.0</v>
      </c>
      <c r="G85" s="34" t="s">
        <v>206</v>
      </c>
      <c r="H85" s="35" t="s">
        <v>207</v>
      </c>
      <c r="I85" s="38" t="s">
        <v>208</v>
      </c>
      <c r="J85" s="48">
        <v>0.0</v>
      </c>
      <c r="K85" s="48" t="s">
        <v>215</v>
      </c>
      <c r="L85" s="51" t="s">
        <v>216</v>
      </c>
    </row>
    <row r="86" ht="15.75" customHeight="1">
      <c r="A86" s="15">
        <f t="shared" si="1"/>
        <v>85</v>
      </c>
      <c r="B86" s="48" t="s">
        <v>205</v>
      </c>
      <c r="C86" s="49">
        <v>525.0</v>
      </c>
      <c r="D86" s="48" t="s">
        <v>217</v>
      </c>
      <c r="E86" s="48">
        <v>26300.0</v>
      </c>
      <c r="F86" s="17">
        <v>50000.0</v>
      </c>
      <c r="G86" s="34" t="s">
        <v>206</v>
      </c>
      <c r="H86" s="35" t="s">
        <v>207</v>
      </c>
      <c r="I86" s="38" t="s">
        <v>208</v>
      </c>
      <c r="J86" s="48">
        <v>0.0</v>
      </c>
      <c r="K86" s="48" t="s">
        <v>218</v>
      </c>
      <c r="L86" s="51" t="s">
        <v>209</v>
      </c>
    </row>
    <row r="87" ht="15.75" customHeight="1">
      <c r="A87" s="15">
        <f t="shared" si="1"/>
        <v>86</v>
      </c>
      <c r="B87" s="27">
        <v>45985.0</v>
      </c>
      <c r="C87" s="49">
        <v>525.0</v>
      </c>
      <c r="D87" s="48" t="s">
        <v>217</v>
      </c>
      <c r="E87" s="48">
        <v>26300.0</v>
      </c>
      <c r="F87" s="17">
        <v>50000.0</v>
      </c>
      <c r="G87" s="34" t="s">
        <v>206</v>
      </c>
      <c r="H87" s="35" t="s">
        <v>207</v>
      </c>
      <c r="I87" s="38" t="s">
        <v>208</v>
      </c>
      <c r="J87" s="48">
        <v>0.0</v>
      </c>
      <c r="K87" s="48" t="s">
        <v>219</v>
      </c>
      <c r="L87" s="51" t="s">
        <v>220</v>
      </c>
    </row>
    <row r="88" ht="15.75" customHeight="1">
      <c r="A88" s="15">
        <f t="shared" si="1"/>
        <v>87</v>
      </c>
      <c r="B88" s="27">
        <v>45985.0</v>
      </c>
      <c r="C88" s="49">
        <v>525.0</v>
      </c>
      <c r="D88" s="48" t="s">
        <v>217</v>
      </c>
      <c r="E88" s="48">
        <v>26300.0</v>
      </c>
      <c r="F88" s="17">
        <v>200000.0</v>
      </c>
      <c r="G88" s="34" t="s">
        <v>206</v>
      </c>
      <c r="H88" s="35" t="s">
        <v>207</v>
      </c>
      <c r="I88" s="38" t="s">
        <v>208</v>
      </c>
      <c r="J88" s="48">
        <v>0.0</v>
      </c>
      <c r="K88" s="48" t="s">
        <v>221</v>
      </c>
      <c r="L88" s="51" t="s">
        <v>222</v>
      </c>
    </row>
    <row r="89" ht="15.75" customHeight="1">
      <c r="A89" s="15">
        <f t="shared" si="1"/>
        <v>88</v>
      </c>
      <c r="B89" s="27">
        <v>45986.0</v>
      </c>
      <c r="C89" s="49">
        <v>525.0</v>
      </c>
      <c r="D89" s="48" t="s">
        <v>217</v>
      </c>
      <c r="E89" s="48">
        <v>26300.0</v>
      </c>
      <c r="F89" s="17">
        <v>50000.0</v>
      </c>
      <c r="G89" s="34" t="s">
        <v>206</v>
      </c>
      <c r="H89" s="35" t="s">
        <v>207</v>
      </c>
      <c r="I89" s="38" t="s">
        <v>208</v>
      </c>
      <c r="J89" s="48" t="s">
        <v>67</v>
      </c>
      <c r="K89" s="48">
        <v>0.0</v>
      </c>
      <c r="L89" s="51" t="s">
        <v>223</v>
      </c>
    </row>
    <row r="90" ht="15.75" customHeight="1">
      <c r="A90" s="15">
        <f t="shared" si="1"/>
        <v>89</v>
      </c>
      <c r="B90" s="27">
        <v>45988.0</v>
      </c>
      <c r="C90" s="49">
        <v>525.0</v>
      </c>
      <c r="D90" s="48" t="s">
        <v>217</v>
      </c>
      <c r="E90" s="48">
        <v>26300.0</v>
      </c>
      <c r="F90" s="17">
        <v>850000.0</v>
      </c>
      <c r="G90" s="34" t="s">
        <v>206</v>
      </c>
      <c r="H90" s="35" t="s">
        <v>207</v>
      </c>
      <c r="I90" s="38" t="s">
        <v>208</v>
      </c>
      <c r="J90" s="48" t="s">
        <v>67</v>
      </c>
      <c r="K90" s="48">
        <v>0.0</v>
      </c>
      <c r="L90" s="51" t="s">
        <v>224</v>
      </c>
    </row>
    <row r="91" ht="15.75" customHeight="1">
      <c r="A91" s="15">
        <f t="shared" si="1"/>
        <v>90</v>
      </c>
      <c r="B91" s="27">
        <v>45988.0</v>
      </c>
      <c r="C91" s="49">
        <v>525.0</v>
      </c>
      <c r="D91" s="48" t="s">
        <v>217</v>
      </c>
      <c r="E91" s="48">
        <v>26300.0</v>
      </c>
      <c r="F91" s="17">
        <v>5592.0</v>
      </c>
      <c r="G91" s="34" t="s">
        <v>206</v>
      </c>
      <c r="H91" s="35" t="s">
        <v>207</v>
      </c>
      <c r="I91" s="38" t="s">
        <v>208</v>
      </c>
      <c r="J91" s="48">
        <v>0.0</v>
      </c>
      <c r="K91" s="48" t="s">
        <v>225</v>
      </c>
      <c r="L91" s="51" t="s">
        <v>226</v>
      </c>
    </row>
    <row r="92" ht="15.75" customHeight="1">
      <c r="A92" s="15">
        <f t="shared" si="1"/>
        <v>91</v>
      </c>
      <c r="B92" s="48" t="s">
        <v>205</v>
      </c>
      <c r="C92" s="48">
        <v>491.0</v>
      </c>
      <c r="D92" s="48">
        <v>183.36</v>
      </c>
      <c r="E92" s="48">
        <v>25500.0</v>
      </c>
      <c r="F92" s="17">
        <v>200000.0</v>
      </c>
      <c r="G92" s="34" t="s">
        <v>227</v>
      </c>
      <c r="H92" s="34">
        <v>0.0</v>
      </c>
      <c r="I92" s="34">
        <v>0.0</v>
      </c>
      <c r="J92" s="48">
        <v>0.0</v>
      </c>
      <c r="K92" s="48" t="s">
        <v>228</v>
      </c>
      <c r="L92" s="51" t="s">
        <v>229</v>
      </c>
    </row>
    <row r="93" ht="15.75" customHeight="1">
      <c r="A93" s="15">
        <f t="shared" si="1"/>
        <v>92</v>
      </c>
      <c r="B93" s="27">
        <v>45968.0</v>
      </c>
      <c r="C93" s="49">
        <v>350.0</v>
      </c>
      <c r="D93" s="48" t="s">
        <v>122</v>
      </c>
      <c r="E93" s="48">
        <v>24000.0</v>
      </c>
      <c r="F93" s="17">
        <f>1000000</f>
        <v>1000000</v>
      </c>
      <c r="G93" s="34" t="s">
        <v>230</v>
      </c>
      <c r="H93" s="34">
        <v>0.0</v>
      </c>
      <c r="I93" s="34">
        <v>0.0</v>
      </c>
      <c r="J93" s="48">
        <v>0.0</v>
      </c>
      <c r="K93" s="41" t="s">
        <v>231</v>
      </c>
      <c r="L93" s="52" t="s">
        <v>232</v>
      </c>
    </row>
    <row r="94" ht="15.75" customHeight="1">
      <c r="A94" s="15">
        <f t="shared" si="1"/>
        <v>93</v>
      </c>
      <c r="B94" s="27">
        <v>45968.0</v>
      </c>
      <c r="C94" s="49">
        <v>350.0</v>
      </c>
      <c r="D94" s="48" t="s">
        <v>122</v>
      </c>
      <c r="E94" s="48">
        <v>24000.0</v>
      </c>
      <c r="F94" s="17">
        <v>800000.0</v>
      </c>
      <c r="G94" s="34" t="s">
        <v>230</v>
      </c>
      <c r="H94" s="34">
        <v>0.0</v>
      </c>
      <c r="I94" s="34">
        <v>0.0</v>
      </c>
      <c r="J94" s="48" t="s">
        <v>51</v>
      </c>
      <c r="K94" s="41">
        <v>0.0</v>
      </c>
      <c r="L94" s="52" t="s">
        <v>233</v>
      </c>
    </row>
    <row r="95" ht="15.75" customHeight="1">
      <c r="A95" s="15">
        <f t="shared" si="1"/>
        <v>94</v>
      </c>
      <c r="B95" s="27">
        <v>45968.0</v>
      </c>
      <c r="C95" s="49">
        <v>350.0</v>
      </c>
      <c r="D95" s="48" t="s">
        <v>122</v>
      </c>
      <c r="E95" s="48">
        <v>24000.0</v>
      </c>
      <c r="F95" s="17">
        <v>800000.0</v>
      </c>
      <c r="G95" s="34" t="s">
        <v>230</v>
      </c>
      <c r="H95" s="34">
        <v>0.0</v>
      </c>
      <c r="I95" s="34">
        <v>0.0</v>
      </c>
      <c r="J95" s="48" t="s">
        <v>51</v>
      </c>
      <c r="K95" s="41">
        <v>0.0</v>
      </c>
      <c r="L95" s="52" t="s">
        <v>234</v>
      </c>
    </row>
    <row r="96" ht="15.75" customHeight="1">
      <c r="A96" s="15">
        <f t="shared" si="1"/>
        <v>95</v>
      </c>
      <c r="B96" s="27">
        <v>45968.0</v>
      </c>
      <c r="C96" s="49">
        <v>351.0</v>
      </c>
      <c r="D96" s="53" t="s">
        <v>141</v>
      </c>
      <c r="E96" s="54">
        <v>24000.0</v>
      </c>
      <c r="F96" s="17">
        <f>1000000</f>
        <v>1000000</v>
      </c>
      <c r="G96" s="34" t="s">
        <v>235</v>
      </c>
      <c r="H96" s="34">
        <v>0.0</v>
      </c>
      <c r="I96" s="34">
        <v>0.0</v>
      </c>
      <c r="J96" s="48">
        <v>0.0</v>
      </c>
      <c r="K96" s="41" t="s">
        <v>236</v>
      </c>
      <c r="L96" s="52" t="s">
        <v>237</v>
      </c>
    </row>
    <row r="97" ht="15.75" customHeight="1">
      <c r="A97" s="15">
        <f t="shared" si="1"/>
        <v>96</v>
      </c>
      <c r="B97" s="27"/>
      <c r="C97" s="49">
        <v>351.0</v>
      </c>
      <c r="D97" s="53" t="s">
        <v>141</v>
      </c>
      <c r="E97" s="54">
        <v>24000.0</v>
      </c>
      <c r="F97" s="17">
        <v>600000.0</v>
      </c>
      <c r="G97" s="34" t="s">
        <v>235</v>
      </c>
      <c r="H97" s="34">
        <v>0.0</v>
      </c>
      <c r="I97" s="34">
        <v>0.0</v>
      </c>
      <c r="J97" s="48" t="s">
        <v>51</v>
      </c>
      <c r="K97" s="41">
        <v>0.0</v>
      </c>
      <c r="L97" s="52" t="s">
        <v>238</v>
      </c>
    </row>
    <row r="98" ht="15.75" customHeight="1">
      <c r="A98" s="15">
        <f t="shared" si="1"/>
        <v>97</v>
      </c>
      <c r="B98" s="27">
        <v>45968.0</v>
      </c>
      <c r="C98" s="49">
        <v>374.0</v>
      </c>
      <c r="D98" s="55" t="s">
        <v>141</v>
      </c>
      <c r="E98" s="56">
        <v>24000.0</v>
      </c>
      <c r="F98" s="17">
        <v>1000000.0</v>
      </c>
      <c r="G98" s="34" t="s">
        <v>235</v>
      </c>
      <c r="H98" s="34">
        <v>0.0</v>
      </c>
      <c r="I98" s="34">
        <v>0.0</v>
      </c>
      <c r="J98" s="48" t="s">
        <v>51</v>
      </c>
      <c r="K98" s="56"/>
      <c r="L98" s="52" t="s">
        <v>239</v>
      </c>
    </row>
    <row r="99" ht="15.75" customHeight="1">
      <c r="A99" s="15">
        <f t="shared" si="1"/>
        <v>98</v>
      </c>
      <c r="B99" s="27"/>
      <c r="C99" s="49">
        <v>374.0</v>
      </c>
      <c r="D99" s="55" t="s">
        <v>141</v>
      </c>
      <c r="E99" s="56">
        <v>24000.0</v>
      </c>
      <c r="F99" s="17">
        <v>700000.0</v>
      </c>
      <c r="G99" s="34" t="s">
        <v>235</v>
      </c>
      <c r="H99" s="34">
        <v>0.0</v>
      </c>
      <c r="I99" s="34">
        <v>0.0</v>
      </c>
      <c r="J99" s="48" t="s">
        <v>51</v>
      </c>
      <c r="K99" s="56"/>
      <c r="L99" s="52" t="s">
        <v>240</v>
      </c>
    </row>
    <row r="100" ht="15.75" customHeight="1">
      <c r="A100" s="15">
        <f t="shared" si="1"/>
        <v>99</v>
      </c>
      <c r="B100" s="27">
        <v>45965.0</v>
      </c>
      <c r="C100" s="49">
        <v>375.0</v>
      </c>
      <c r="D100" s="57" t="s">
        <v>122</v>
      </c>
      <c r="E100" s="54">
        <v>24000.0</v>
      </c>
      <c r="F100" s="17">
        <v>45000.0</v>
      </c>
      <c r="G100" s="43" t="s">
        <v>241</v>
      </c>
      <c r="H100" s="34">
        <v>0.0</v>
      </c>
      <c r="I100" s="34">
        <v>0.0</v>
      </c>
      <c r="J100" s="48">
        <v>0.0</v>
      </c>
      <c r="K100" s="41" t="s">
        <v>242</v>
      </c>
      <c r="L100" s="51" t="s">
        <v>243</v>
      </c>
    </row>
    <row r="101" ht="15.75" customHeight="1">
      <c r="A101" s="15">
        <f t="shared" si="1"/>
        <v>100</v>
      </c>
      <c r="B101" s="27">
        <v>45968.0</v>
      </c>
      <c r="C101" s="49">
        <v>375.0</v>
      </c>
      <c r="D101" s="57" t="s">
        <v>122</v>
      </c>
      <c r="E101" s="54">
        <v>24000.0</v>
      </c>
      <c r="F101" s="58">
        <v>800000.0</v>
      </c>
      <c r="G101" s="43" t="s">
        <v>241</v>
      </c>
      <c r="H101" s="34">
        <v>0.0</v>
      </c>
      <c r="I101" s="34">
        <v>0.0</v>
      </c>
      <c r="J101" s="48" t="s">
        <v>51</v>
      </c>
      <c r="K101" s="59">
        <v>0.0</v>
      </c>
      <c r="L101" s="51" t="s">
        <v>244</v>
      </c>
    </row>
    <row r="102" ht="15.75" customHeight="1">
      <c r="A102" s="15">
        <f t="shared" si="1"/>
        <v>101</v>
      </c>
      <c r="B102" s="27">
        <v>45968.0</v>
      </c>
      <c r="C102" s="49">
        <v>375.0</v>
      </c>
      <c r="D102" s="57" t="s">
        <v>122</v>
      </c>
      <c r="E102" s="54">
        <v>24000.0</v>
      </c>
      <c r="F102" s="58">
        <v>800000.0</v>
      </c>
      <c r="G102" s="43" t="s">
        <v>241</v>
      </c>
      <c r="H102" s="34">
        <v>0.0</v>
      </c>
      <c r="I102" s="34">
        <v>0.0</v>
      </c>
      <c r="J102" s="48" t="s">
        <v>51</v>
      </c>
      <c r="K102" s="59">
        <v>0.0</v>
      </c>
      <c r="L102" s="51" t="s">
        <v>245</v>
      </c>
    </row>
    <row r="103" ht="15.75" customHeight="1">
      <c r="A103" s="15">
        <f t="shared" si="1"/>
        <v>102</v>
      </c>
      <c r="B103" s="27">
        <v>45973.0</v>
      </c>
      <c r="C103" s="49">
        <v>375.0</v>
      </c>
      <c r="D103" s="57" t="s">
        <v>122</v>
      </c>
      <c r="E103" s="54">
        <v>24000.0</v>
      </c>
      <c r="F103" s="58">
        <v>1000000.0</v>
      </c>
      <c r="G103" s="43" t="s">
        <v>241</v>
      </c>
      <c r="H103" s="34">
        <v>0.0</v>
      </c>
      <c r="I103" s="34">
        <v>0.0</v>
      </c>
      <c r="J103" s="60">
        <v>0.0</v>
      </c>
      <c r="K103" s="41" t="s">
        <v>246</v>
      </c>
      <c r="L103" s="51" t="s">
        <v>247</v>
      </c>
    </row>
    <row r="104" ht="15.75" customHeight="1">
      <c r="A104" s="15">
        <f t="shared" si="1"/>
        <v>103</v>
      </c>
      <c r="B104" s="61">
        <v>45994.0</v>
      </c>
      <c r="C104" s="49">
        <v>375.0</v>
      </c>
      <c r="D104" s="57" t="s">
        <v>122</v>
      </c>
      <c r="E104" s="54">
        <v>24000.0</v>
      </c>
      <c r="F104" s="58">
        <v>900000.0</v>
      </c>
      <c r="G104" s="43" t="s">
        <v>241</v>
      </c>
      <c r="H104" s="34">
        <v>0.0</v>
      </c>
      <c r="I104" s="34">
        <v>0.0</v>
      </c>
      <c r="J104" s="60">
        <v>0.0</v>
      </c>
      <c r="K104" s="59" t="s">
        <v>248</v>
      </c>
      <c r="L104" s="51" t="s">
        <v>249</v>
      </c>
    </row>
    <row r="105" ht="15.75" customHeight="1">
      <c r="A105" s="15">
        <f t="shared" si="1"/>
        <v>104</v>
      </c>
      <c r="B105" s="61">
        <v>45994.0</v>
      </c>
      <c r="C105" s="49">
        <v>375.0</v>
      </c>
      <c r="D105" s="57" t="s">
        <v>122</v>
      </c>
      <c r="E105" s="54">
        <v>24000.0</v>
      </c>
      <c r="F105" s="58">
        <v>1000000.0</v>
      </c>
      <c r="G105" s="43" t="s">
        <v>241</v>
      </c>
      <c r="H105" s="34">
        <v>0.0</v>
      </c>
      <c r="I105" s="34">
        <v>0.0</v>
      </c>
      <c r="J105" s="60">
        <v>0.0</v>
      </c>
      <c r="K105" s="59" t="s">
        <v>250</v>
      </c>
      <c r="L105" s="51" t="s">
        <v>251</v>
      </c>
    </row>
    <row r="106" ht="15.75" customHeight="1">
      <c r="A106" s="15">
        <f t="shared" si="1"/>
        <v>105</v>
      </c>
      <c r="B106" s="61">
        <v>45965.0</v>
      </c>
      <c r="C106" s="60">
        <v>486.0</v>
      </c>
      <c r="D106" s="62" t="s">
        <v>141</v>
      </c>
      <c r="E106" s="63">
        <v>26000.0</v>
      </c>
      <c r="F106" s="58">
        <f>40000+50000</f>
        <v>90000</v>
      </c>
      <c r="G106" s="64" t="s">
        <v>252</v>
      </c>
      <c r="H106" s="34">
        <v>0.0</v>
      </c>
      <c r="I106" s="34">
        <v>0.0</v>
      </c>
      <c r="J106" s="60">
        <v>0.0</v>
      </c>
      <c r="K106" s="59" t="s">
        <v>253</v>
      </c>
      <c r="L106" s="52" t="s">
        <v>254</v>
      </c>
    </row>
    <row r="107" ht="15.75" customHeight="1">
      <c r="A107" s="15">
        <f t="shared" si="1"/>
        <v>106</v>
      </c>
      <c r="B107" s="61" t="s">
        <v>255</v>
      </c>
      <c r="C107" s="60">
        <v>486.0</v>
      </c>
      <c r="D107" s="62" t="s">
        <v>141</v>
      </c>
      <c r="E107" s="63">
        <v>26000.0</v>
      </c>
      <c r="F107" s="58">
        <v>60000.0</v>
      </c>
      <c r="G107" s="64" t="s">
        <v>252</v>
      </c>
      <c r="H107" s="34">
        <v>0.0</v>
      </c>
      <c r="I107" s="34">
        <v>0.0</v>
      </c>
      <c r="J107" s="60">
        <v>0.0</v>
      </c>
      <c r="K107" s="59" t="s">
        <v>256</v>
      </c>
      <c r="L107" s="52" t="s">
        <v>257</v>
      </c>
    </row>
    <row r="108" ht="15.75" customHeight="1">
      <c r="A108" s="15">
        <f t="shared" si="1"/>
        <v>107</v>
      </c>
      <c r="B108" s="61" t="s">
        <v>57</v>
      </c>
      <c r="C108" s="60">
        <v>486.0</v>
      </c>
      <c r="D108" s="62" t="s">
        <v>141</v>
      </c>
      <c r="E108" s="63">
        <v>26000.0</v>
      </c>
      <c r="F108" s="58">
        <v>95000.0</v>
      </c>
      <c r="G108" s="64" t="s">
        <v>252</v>
      </c>
      <c r="H108" s="34">
        <v>0.0</v>
      </c>
      <c r="I108" s="34">
        <v>0.0</v>
      </c>
      <c r="J108" s="60">
        <v>0.0</v>
      </c>
      <c r="K108" s="59" t="s">
        <v>258</v>
      </c>
      <c r="L108" s="52" t="s">
        <v>259</v>
      </c>
    </row>
    <row r="109" ht="15.75" customHeight="1">
      <c r="A109" s="15">
        <f t="shared" si="1"/>
        <v>108</v>
      </c>
      <c r="B109" s="61" t="s">
        <v>260</v>
      </c>
      <c r="C109" s="60">
        <v>486.0</v>
      </c>
      <c r="D109" s="62" t="s">
        <v>141</v>
      </c>
      <c r="E109" s="63">
        <v>26000.0</v>
      </c>
      <c r="F109" s="58">
        <v>95000.0</v>
      </c>
      <c r="G109" s="64" t="s">
        <v>252</v>
      </c>
      <c r="H109" s="34">
        <v>0.0</v>
      </c>
      <c r="I109" s="34">
        <v>0.0</v>
      </c>
      <c r="J109" s="60">
        <v>0.0</v>
      </c>
      <c r="K109" s="59" t="s">
        <v>261</v>
      </c>
      <c r="L109" s="52" t="s">
        <v>262</v>
      </c>
    </row>
    <row r="110" ht="15.75" customHeight="1">
      <c r="A110" s="15">
        <f t="shared" si="1"/>
        <v>109</v>
      </c>
      <c r="B110" s="61" t="s">
        <v>263</v>
      </c>
      <c r="C110" s="60">
        <v>486.0</v>
      </c>
      <c r="D110" s="62" t="s">
        <v>141</v>
      </c>
      <c r="E110" s="63">
        <v>26000.0</v>
      </c>
      <c r="F110" s="58">
        <v>95000.0</v>
      </c>
      <c r="G110" s="64" t="s">
        <v>252</v>
      </c>
      <c r="H110" s="34">
        <v>0.0</v>
      </c>
      <c r="I110" s="34">
        <v>0.0</v>
      </c>
      <c r="J110" s="60">
        <v>0.0</v>
      </c>
      <c r="K110" s="59" t="s">
        <v>264</v>
      </c>
      <c r="L110" s="52" t="s">
        <v>265</v>
      </c>
    </row>
    <row r="111" ht="15.75" customHeight="1">
      <c r="A111" s="15">
        <f t="shared" si="1"/>
        <v>110</v>
      </c>
      <c r="B111" s="61" t="s">
        <v>266</v>
      </c>
      <c r="C111" s="60">
        <v>486.0</v>
      </c>
      <c r="D111" s="62" t="s">
        <v>141</v>
      </c>
      <c r="E111" s="63">
        <v>26000.0</v>
      </c>
      <c r="F111" s="58">
        <v>65000.0</v>
      </c>
      <c r="G111" s="64" t="s">
        <v>252</v>
      </c>
      <c r="H111" s="34">
        <v>0.0</v>
      </c>
      <c r="I111" s="34">
        <v>0.0</v>
      </c>
      <c r="J111" s="60">
        <v>0.0</v>
      </c>
      <c r="K111" s="41" t="s">
        <v>267</v>
      </c>
      <c r="L111" s="52" t="s">
        <v>268</v>
      </c>
    </row>
    <row r="112" ht="15.75" customHeight="1">
      <c r="A112" s="15">
        <f t="shared" si="1"/>
        <v>111</v>
      </c>
      <c r="B112" s="61" t="s">
        <v>269</v>
      </c>
      <c r="C112" s="60">
        <v>487.0</v>
      </c>
      <c r="D112" s="65" t="s">
        <v>141</v>
      </c>
      <c r="E112" s="66">
        <v>26500.0</v>
      </c>
      <c r="F112" s="58">
        <v>50000.0</v>
      </c>
      <c r="G112" s="64" t="s">
        <v>270</v>
      </c>
      <c r="H112" s="34">
        <v>0.0</v>
      </c>
      <c r="I112" s="34">
        <v>0.0</v>
      </c>
      <c r="J112" s="60">
        <v>0.0</v>
      </c>
      <c r="K112" s="59" t="s">
        <v>271</v>
      </c>
      <c r="L112" s="52" t="s">
        <v>272</v>
      </c>
    </row>
    <row r="113" ht="15.75" customHeight="1">
      <c r="A113" s="15">
        <f t="shared" si="1"/>
        <v>112</v>
      </c>
      <c r="B113" s="61">
        <v>45995.0</v>
      </c>
      <c r="C113" s="60">
        <v>487.0</v>
      </c>
      <c r="D113" s="65" t="s">
        <v>141</v>
      </c>
      <c r="E113" s="66">
        <v>26500.0</v>
      </c>
      <c r="F113" s="58">
        <v>999976.4</v>
      </c>
      <c r="G113" s="64" t="s">
        <v>270</v>
      </c>
      <c r="H113" s="34">
        <v>0.0</v>
      </c>
      <c r="I113" s="34">
        <v>0.0</v>
      </c>
      <c r="J113" s="60">
        <v>0.0</v>
      </c>
      <c r="K113" s="59" t="s">
        <v>273</v>
      </c>
      <c r="L113" s="51" t="s">
        <v>274</v>
      </c>
    </row>
    <row r="114" ht="15.75" customHeight="1">
      <c r="A114" s="15">
        <f t="shared" si="1"/>
        <v>113</v>
      </c>
      <c r="B114" s="61">
        <v>45965.0</v>
      </c>
      <c r="C114" s="60">
        <v>621.0</v>
      </c>
      <c r="D114" s="62" t="s">
        <v>275</v>
      </c>
      <c r="E114" s="63">
        <v>26000.0</v>
      </c>
      <c r="F114" s="58">
        <v>10116.0</v>
      </c>
      <c r="G114" s="64" t="s">
        <v>276</v>
      </c>
      <c r="H114" s="34">
        <v>0.0</v>
      </c>
      <c r="I114" s="34">
        <v>0.0</v>
      </c>
      <c r="J114" s="60" t="s">
        <v>67</v>
      </c>
      <c r="K114" s="59">
        <v>0.0</v>
      </c>
      <c r="L114" s="67">
        <v>0.0</v>
      </c>
    </row>
    <row r="115" ht="15.75" customHeight="1">
      <c r="A115" s="15">
        <f t="shared" si="1"/>
        <v>114</v>
      </c>
      <c r="B115" s="61">
        <v>45970.0</v>
      </c>
      <c r="C115" s="60">
        <v>621.0</v>
      </c>
      <c r="D115" s="62" t="s">
        <v>275</v>
      </c>
      <c r="E115" s="63">
        <v>26000.0</v>
      </c>
      <c r="F115" s="58">
        <v>90000.0</v>
      </c>
      <c r="G115" s="64" t="s">
        <v>276</v>
      </c>
      <c r="H115" s="34">
        <v>0.0</v>
      </c>
      <c r="I115" s="34">
        <v>0.0</v>
      </c>
      <c r="J115" s="60" t="s">
        <v>67</v>
      </c>
      <c r="K115" s="59">
        <v>0.0</v>
      </c>
      <c r="L115" s="68" t="s">
        <v>277</v>
      </c>
    </row>
    <row r="116" ht="15.75" customHeight="1">
      <c r="A116" s="15">
        <f t="shared" si="1"/>
        <v>115</v>
      </c>
      <c r="B116" s="61">
        <v>45988.0</v>
      </c>
      <c r="C116" s="60">
        <v>621.0</v>
      </c>
      <c r="D116" s="62" t="s">
        <v>275</v>
      </c>
      <c r="E116" s="63">
        <v>26000.0</v>
      </c>
      <c r="F116" s="58">
        <v>50000.0</v>
      </c>
      <c r="G116" s="64" t="s">
        <v>276</v>
      </c>
      <c r="H116" s="34">
        <v>0.0</v>
      </c>
      <c r="I116" s="34">
        <v>0.0</v>
      </c>
      <c r="J116" s="60">
        <v>0.0</v>
      </c>
      <c r="K116" s="59" t="s">
        <v>278</v>
      </c>
      <c r="L116" s="68" t="s">
        <v>279</v>
      </c>
    </row>
    <row r="117" ht="15.75" customHeight="1">
      <c r="A117" s="15">
        <f t="shared" si="1"/>
        <v>116</v>
      </c>
      <c r="B117" s="61">
        <v>45988.0</v>
      </c>
      <c r="C117" s="60">
        <v>621.0</v>
      </c>
      <c r="D117" s="62" t="s">
        <v>275</v>
      </c>
      <c r="E117" s="63">
        <v>26000.0</v>
      </c>
      <c r="F117" s="58">
        <v>100000.0</v>
      </c>
      <c r="G117" s="64" t="s">
        <v>276</v>
      </c>
      <c r="H117" s="34">
        <v>0.0</v>
      </c>
      <c r="I117" s="34">
        <v>0.0</v>
      </c>
      <c r="J117" s="60">
        <v>0.0</v>
      </c>
      <c r="K117" s="59" t="s">
        <v>280</v>
      </c>
      <c r="L117" s="68" t="s">
        <v>281</v>
      </c>
    </row>
    <row r="118" ht="15.75" customHeight="1">
      <c r="A118" s="15">
        <f t="shared" si="1"/>
        <v>117</v>
      </c>
      <c r="B118" s="61">
        <v>45989.0</v>
      </c>
      <c r="C118" s="60">
        <v>621.0</v>
      </c>
      <c r="D118" s="62" t="s">
        <v>275</v>
      </c>
      <c r="E118" s="63">
        <v>26000.0</v>
      </c>
      <c r="F118" s="58">
        <v>300000.0</v>
      </c>
      <c r="G118" s="64" t="s">
        <v>276</v>
      </c>
      <c r="H118" s="34">
        <v>0.0</v>
      </c>
      <c r="I118" s="34">
        <v>0.0</v>
      </c>
      <c r="J118" s="60">
        <v>0.0</v>
      </c>
      <c r="K118" s="59" t="s">
        <v>282</v>
      </c>
      <c r="L118" s="68" t="s">
        <v>283</v>
      </c>
    </row>
    <row r="119" ht="15.75" customHeight="1">
      <c r="A119" s="15">
        <f t="shared" si="1"/>
        <v>118</v>
      </c>
      <c r="B119" s="61">
        <v>45994.0</v>
      </c>
      <c r="C119" s="60">
        <v>621.0</v>
      </c>
      <c r="D119" s="62" t="s">
        <v>275</v>
      </c>
      <c r="E119" s="63">
        <v>26000.0</v>
      </c>
      <c r="F119" s="58">
        <v>100000.0</v>
      </c>
      <c r="G119" s="64" t="s">
        <v>276</v>
      </c>
      <c r="H119" s="34">
        <v>0.0</v>
      </c>
      <c r="I119" s="34">
        <v>0.0</v>
      </c>
      <c r="J119" s="60">
        <v>0.0</v>
      </c>
      <c r="K119" s="59" t="s">
        <v>284</v>
      </c>
      <c r="L119" s="68" t="s">
        <v>285</v>
      </c>
    </row>
    <row r="120" ht="15.75" customHeight="1">
      <c r="A120" s="15">
        <f t="shared" si="1"/>
        <v>119</v>
      </c>
      <c r="B120" s="61">
        <v>45996.0</v>
      </c>
      <c r="C120" s="60">
        <v>621.0</v>
      </c>
      <c r="D120" s="62" t="s">
        <v>275</v>
      </c>
      <c r="E120" s="63">
        <v>26000.0</v>
      </c>
      <c r="F120" s="58">
        <v>500000.0</v>
      </c>
      <c r="G120" s="64" t="s">
        <v>276</v>
      </c>
      <c r="H120" s="34">
        <v>0.0</v>
      </c>
      <c r="I120" s="34">
        <v>0.0</v>
      </c>
      <c r="J120" s="60">
        <v>0.0</v>
      </c>
      <c r="K120" s="59" t="s">
        <v>286</v>
      </c>
      <c r="L120" s="68" t="s">
        <v>287</v>
      </c>
    </row>
    <row r="121" ht="15.75" customHeight="1">
      <c r="A121" s="15">
        <f t="shared" si="1"/>
        <v>120</v>
      </c>
      <c r="B121" s="61">
        <v>45969.0</v>
      </c>
      <c r="C121" s="60">
        <v>483.0</v>
      </c>
      <c r="D121" s="65" t="s">
        <v>141</v>
      </c>
      <c r="E121" s="63">
        <v>26000.0</v>
      </c>
      <c r="F121" s="58">
        <f>200000</f>
        <v>200000</v>
      </c>
      <c r="G121" s="69" t="s">
        <v>288</v>
      </c>
      <c r="H121" s="70" t="s">
        <v>289</v>
      </c>
      <c r="I121" s="34">
        <v>0.0</v>
      </c>
      <c r="J121" s="60">
        <v>0.0</v>
      </c>
      <c r="K121" s="59" t="s">
        <v>290</v>
      </c>
      <c r="L121" s="68" t="s">
        <v>291</v>
      </c>
    </row>
    <row r="122" ht="15.75" customHeight="1">
      <c r="A122" s="15">
        <f t="shared" si="1"/>
        <v>121</v>
      </c>
      <c r="B122" s="61">
        <v>45993.0</v>
      </c>
      <c r="C122" s="60">
        <v>483.0</v>
      </c>
      <c r="D122" s="65" t="s">
        <v>141</v>
      </c>
      <c r="E122" s="63">
        <v>26000.0</v>
      </c>
      <c r="F122" s="58">
        <v>136160.0</v>
      </c>
      <c r="G122" s="69" t="s">
        <v>288</v>
      </c>
      <c r="H122" s="70" t="s">
        <v>289</v>
      </c>
      <c r="I122" s="34">
        <v>0.0</v>
      </c>
      <c r="J122" s="60">
        <v>0.0</v>
      </c>
      <c r="K122" s="59" t="s">
        <v>292</v>
      </c>
      <c r="L122" s="68" t="s">
        <v>293</v>
      </c>
    </row>
    <row r="123" ht="15.75" customHeight="1">
      <c r="A123" s="15">
        <f t="shared" si="1"/>
        <v>122</v>
      </c>
      <c r="B123" s="61">
        <v>45995.0</v>
      </c>
      <c r="C123" s="60">
        <v>483.0</v>
      </c>
      <c r="D123" s="65" t="s">
        <v>141</v>
      </c>
      <c r="E123" s="63">
        <v>26000.0</v>
      </c>
      <c r="F123" s="58">
        <v>350000.0</v>
      </c>
      <c r="G123" s="69" t="s">
        <v>288</v>
      </c>
      <c r="H123" s="70" t="s">
        <v>289</v>
      </c>
      <c r="I123" s="34">
        <v>0.0</v>
      </c>
      <c r="J123" s="60" t="s">
        <v>67</v>
      </c>
      <c r="K123" s="59">
        <v>0.0</v>
      </c>
      <c r="L123" s="68" t="s">
        <v>294</v>
      </c>
    </row>
    <row r="124" ht="15.75" customHeight="1">
      <c r="A124" s="15">
        <f t="shared" si="1"/>
        <v>123</v>
      </c>
      <c r="B124" s="61" t="s">
        <v>295</v>
      </c>
      <c r="C124" s="60">
        <v>483.0</v>
      </c>
      <c r="D124" s="65" t="s">
        <v>141</v>
      </c>
      <c r="E124" s="63">
        <v>26000.0</v>
      </c>
      <c r="F124" s="58">
        <v>300000.0</v>
      </c>
      <c r="G124" s="69" t="s">
        <v>288</v>
      </c>
      <c r="H124" s="70" t="s">
        <v>289</v>
      </c>
      <c r="I124" s="34">
        <v>0.0</v>
      </c>
      <c r="J124" s="60" t="s">
        <v>67</v>
      </c>
      <c r="K124" s="59">
        <v>0.0</v>
      </c>
      <c r="L124" s="68" t="s">
        <v>296</v>
      </c>
    </row>
    <row r="125" ht="15.75" customHeight="1">
      <c r="A125" s="15">
        <f t="shared" si="1"/>
        <v>124</v>
      </c>
      <c r="B125" s="61">
        <v>45971.0</v>
      </c>
      <c r="C125" s="71">
        <v>526.0</v>
      </c>
      <c r="D125" s="65" t="s">
        <v>141</v>
      </c>
      <c r="E125" s="66">
        <v>26200.0</v>
      </c>
      <c r="F125" s="58">
        <v>36000.0</v>
      </c>
      <c r="G125" s="69" t="s">
        <v>297</v>
      </c>
      <c r="H125" s="70" t="s">
        <v>298</v>
      </c>
      <c r="I125" s="59" t="s">
        <v>299</v>
      </c>
      <c r="J125" s="60" t="s">
        <v>67</v>
      </c>
      <c r="K125" s="59">
        <v>0.0</v>
      </c>
      <c r="L125" s="68" t="s">
        <v>300</v>
      </c>
    </row>
    <row r="126" ht="15.75" customHeight="1">
      <c r="A126" s="15">
        <f t="shared" si="1"/>
        <v>125</v>
      </c>
      <c r="B126" s="61">
        <v>45973.0</v>
      </c>
      <c r="C126" s="71">
        <v>526.0</v>
      </c>
      <c r="D126" s="65" t="s">
        <v>141</v>
      </c>
      <c r="E126" s="66">
        <v>26200.0</v>
      </c>
      <c r="F126" s="58">
        <v>64000.0</v>
      </c>
      <c r="G126" s="69" t="s">
        <v>297</v>
      </c>
      <c r="H126" s="70" t="s">
        <v>298</v>
      </c>
      <c r="I126" s="59" t="s">
        <v>299</v>
      </c>
      <c r="J126" s="60">
        <v>0.0</v>
      </c>
      <c r="K126" s="59" t="s">
        <v>301</v>
      </c>
      <c r="L126" s="68" t="s">
        <v>302</v>
      </c>
    </row>
    <row r="127" ht="15.75" customHeight="1">
      <c r="A127" s="15">
        <f t="shared" si="1"/>
        <v>126</v>
      </c>
      <c r="B127" s="61">
        <v>45994.0</v>
      </c>
      <c r="C127" s="71">
        <v>526.0</v>
      </c>
      <c r="D127" s="65" t="s">
        <v>141</v>
      </c>
      <c r="E127" s="66">
        <v>26200.0</v>
      </c>
      <c r="F127" s="58">
        <v>152078.0</v>
      </c>
      <c r="G127" s="69" t="s">
        <v>297</v>
      </c>
      <c r="H127" s="70" t="s">
        <v>298</v>
      </c>
      <c r="I127" s="59" t="s">
        <v>299</v>
      </c>
      <c r="J127" s="60">
        <v>0.0</v>
      </c>
      <c r="K127" s="59" t="s">
        <v>303</v>
      </c>
      <c r="L127" s="68" t="s">
        <v>304</v>
      </c>
    </row>
    <row r="128" ht="15.75" customHeight="1">
      <c r="A128" s="15">
        <f t="shared" si="1"/>
        <v>127</v>
      </c>
      <c r="B128" s="61">
        <v>45996.0</v>
      </c>
      <c r="C128" s="71">
        <v>526.0</v>
      </c>
      <c r="D128" s="65" t="s">
        <v>141</v>
      </c>
      <c r="E128" s="66">
        <v>26200.0</v>
      </c>
      <c r="F128" s="58">
        <v>100000.0</v>
      </c>
      <c r="G128" s="69" t="s">
        <v>297</v>
      </c>
      <c r="H128" s="70" t="s">
        <v>298</v>
      </c>
      <c r="I128" s="59" t="s">
        <v>299</v>
      </c>
      <c r="J128" s="60">
        <v>0.0</v>
      </c>
      <c r="K128" s="59" t="s">
        <v>305</v>
      </c>
      <c r="L128" s="68" t="s">
        <v>306</v>
      </c>
    </row>
    <row r="129" ht="15.75" customHeight="1">
      <c r="A129" s="15">
        <f t="shared" si="1"/>
        <v>128</v>
      </c>
      <c r="B129" s="61">
        <v>45997.0</v>
      </c>
      <c r="C129" s="71">
        <v>526.0</v>
      </c>
      <c r="D129" s="65" t="s">
        <v>141</v>
      </c>
      <c r="E129" s="66">
        <v>26200.0</v>
      </c>
      <c r="F129" s="58">
        <v>848930.0</v>
      </c>
      <c r="G129" s="69" t="s">
        <v>297</v>
      </c>
      <c r="H129" s="70" t="s">
        <v>298</v>
      </c>
      <c r="I129" s="59" t="s">
        <v>299</v>
      </c>
      <c r="J129" s="60" t="s">
        <v>51</v>
      </c>
      <c r="K129" s="59">
        <v>0.0</v>
      </c>
      <c r="L129" s="68"/>
    </row>
    <row r="130" ht="15.75" customHeight="1">
      <c r="A130" s="15">
        <f t="shared" si="1"/>
        <v>129</v>
      </c>
      <c r="B130" s="61">
        <v>45971.0</v>
      </c>
      <c r="C130" s="71">
        <v>578.0</v>
      </c>
      <c r="D130" s="65" t="s">
        <v>307</v>
      </c>
      <c r="E130" s="63">
        <v>26000.0</v>
      </c>
      <c r="F130" s="58">
        <v>50000.0</v>
      </c>
      <c r="G130" s="69" t="s">
        <v>308</v>
      </c>
      <c r="H130" s="70" t="s">
        <v>309</v>
      </c>
      <c r="I130" s="59" t="s">
        <v>310</v>
      </c>
      <c r="J130" s="60">
        <v>0.0</v>
      </c>
      <c r="K130" s="59" t="s">
        <v>311</v>
      </c>
      <c r="L130" s="68" t="s">
        <v>312</v>
      </c>
    </row>
    <row r="131" ht="15.75" customHeight="1">
      <c r="A131" s="15">
        <f t="shared" si="1"/>
        <v>130</v>
      </c>
      <c r="B131" s="61">
        <v>45994.0</v>
      </c>
      <c r="C131" s="71">
        <v>578.0</v>
      </c>
      <c r="D131" s="65" t="s">
        <v>307</v>
      </c>
      <c r="E131" s="63">
        <v>26000.0</v>
      </c>
      <c r="F131" s="58">
        <v>155961.0</v>
      </c>
      <c r="G131" s="69" t="s">
        <v>308</v>
      </c>
      <c r="H131" s="70" t="s">
        <v>309</v>
      </c>
      <c r="I131" s="59" t="s">
        <v>310</v>
      </c>
      <c r="J131" s="60">
        <v>0.0</v>
      </c>
      <c r="K131" s="59" t="s">
        <v>313</v>
      </c>
      <c r="L131" s="68" t="s">
        <v>314</v>
      </c>
    </row>
    <row r="132" ht="15.75" customHeight="1">
      <c r="A132" s="15">
        <f t="shared" si="1"/>
        <v>131</v>
      </c>
      <c r="B132" s="61">
        <v>45994.0</v>
      </c>
      <c r="C132" s="71">
        <v>578.0</v>
      </c>
      <c r="D132" s="65" t="s">
        <v>307</v>
      </c>
      <c r="E132" s="63">
        <v>26000.0</v>
      </c>
      <c r="F132" s="58">
        <v>767674.0</v>
      </c>
      <c r="G132" s="69" t="s">
        <v>308</v>
      </c>
      <c r="H132" s="70" t="s">
        <v>309</v>
      </c>
      <c r="I132" s="59" t="s">
        <v>310</v>
      </c>
      <c r="J132" s="60" t="s">
        <v>67</v>
      </c>
      <c r="K132" s="59">
        <v>0.0</v>
      </c>
      <c r="L132" s="68" t="s">
        <v>315</v>
      </c>
    </row>
    <row r="133" ht="15.75" customHeight="1">
      <c r="A133" s="15">
        <f t="shared" si="1"/>
        <v>132</v>
      </c>
      <c r="B133" s="61">
        <v>45971.0</v>
      </c>
      <c r="C133" s="71">
        <v>488.0</v>
      </c>
      <c r="D133" s="65" t="s">
        <v>316</v>
      </c>
      <c r="E133" s="63">
        <v>26000.0</v>
      </c>
      <c r="F133" s="58">
        <v>50000.0</v>
      </c>
      <c r="G133" s="23" t="s">
        <v>22</v>
      </c>
      <c r="H133" s="24" t="s">
        <v>23</v>
      </c>
      <c r="I133" s="25" t="s">
        <v>24</v>
      </c>
      <c r="J133" s="60">
        <v>0.0</v>
      </c>
      <c r="K133" s="59" t="s">
        <v>317</v>
      </c>
      <c r="L133" s="68" t="s">
        <v>318</v>
      </c>
    </row>
    <row r="134" ht="15.75" customHeight="1">
      <c r="A134" s="15">
        <f t="shared" si="1"/>
        <v>133</v>
      </c>
      <c r="B134" s="61">
        <v>45972.0</v>
      </c>
      <c r="C134" s="71">
        <v>488.0</v>
      </c>
      <c r="D134" s="65" t="s">
        <v>316</v>
      </c>
      <c r="E134" s="63">
        <v>26000.0</v>
      </c>
      <c r="F134" s="58">
        <v>150000.0</v>
      </c>
      <c r="G134" s="23" t="s">
        <v>22</v>
      </c>
      <c r="H134" s="24" t="s">
        <v>23</v>
      </c>
      <c r="I134" s="25" t="s">
        <v>24</v>
      </c>
      <c r="J134" s="60">
        <v>0.0</v>
      </c>
      <c r="K134" s="59" t="s">
        <v>319</v>
      </c>
      <c r="L134" s="68" t="s">
        <v>320</v>
      </c>
    </row>
    <row r="135" ht="15.75" customHeight="1">
      <c r="A135" s="15">
        <f t="shared" si="1"/>
        <v>134</v>
      </c>
      <c r="B135" s="61">
        <v>45974.0</v>
      </c>
      <c r="C135" s="71">
        <v>488.0</v>
      </c>
      <c r="D135" s="65" t="s">
        <v>316</v>
      </c>
      <c r="E135" s="63">
        <v>26000.0</v>
      </c>
      <c r="F135" s="58">
        <v>441923.0</v>
      </c>
      <c r="G135" s="23" t="s">
        <v>22</v>
      </c>
      <c r="H135" s="24" t="s">
        <v>23</v>
      </c>
      <c r="I135" s="25" t="s">
        <v>24</v>
      </c>
      <c r="J135" s="60">
        <v>0.0</v>
      </c>
      <c r="K135" s="59" t="s">
        <v>321</v>
      </c>
      <c r="L135" s="68" t="s">
        <v>322</v>
      </c>
    </row>
    <row r="136" ht="15.75" customHeight="1">
      <c r="A136" s="15">
        <f t="shared" si="1"/>
        <v>135</v>
      </c>
      <c r="B136" s="61">
        <v>45980.0</v>
      </c>
      <c r="C136" s="71">
        <v>488.0</v>
      </c>
      <c r="D136" s="65" t="s">
        <v>316</v>
      </c>
      <c r="E136" s="63">
        <v>26000.0</v>
      </c>
      <c r="F136" s="58">
        <v>1000000.0</v>
      </c>
      <c r="G136" s="23" t="s">
        <v>22</v>
      </c>
      <c r="H136" s="24" t="s">
        <v>23</v>
      </c>
      <c r="I136" s="25" t="s">
        <v>24</v>
      </c>
      <c r="J136" s="60" t="s">
        <v>51</v>
      </c>
      <c r="K136" s="59">
        <v>0.0</v>
      </c>
      <c r="L136" s="68" t="s">
        <v>323</v>
      </c>
    </row>
    <row r="137" ht="15.75" customHeight="1">
      <c r="A137" s="15">
        <f t="shared" si="1"/>
        <v>136</v>
      </c>
      <c r="B137" s="61">
        <v>45980.0</v>
      </c>
      <c r="C137" s="71">
        <v>488.0</v>
      </c>
      <c r="D137" s="65" t="s">
        <v>316</v>
      </c>
      <c r="E137" s="63">
        <v>26000.0</v>
      </c>
      <c r="F137" s="58">
        <v>1000000.0</v>
      </c>
      <c r="G137" s="23" t="s">
        <v>22</v>
      </c>
      <c r="H137" s="24" t="s">
        <v>23</v>
      </c>
      <c r="I137" s="25" t="s">
        <v>24</v>
      </c>
      <c r="J137" s="60" t="s">
        <v>51</v>
      </c>
      <c r="K137" s="59">
        <v>0.0</v>
      </c>
      <c r="L137" s="68" t="s">
        <v>324</v>
      </c>
    </row>
    <row r="138" ht="15.75" customHeight="1">
      <c r="A138" s="15">
        <f t="shared" si="1"/>
        <v>137</v>
      </c>
      <c r="B138" s="61">
        <v>45980.0</v>
      </c>
      <c r="C138" s="71">
        <v>488.0</v>
      </c>
      <c r="D138" s="65" t="s">
        <v>316</v>
      </c>
      <c r="E138" s="63">
        <v>26000.0</v>
      </c>
      <c r="F138" s="58">
        <v>392650.0</v>
      </c>
      <c r="G138" s="23" t="s">
        <v>22</v>
      </c>
      <c r="H138" s="24" t="s">
        <v>23</v>
      </c>
      <c r="I138" s="25" t="s">
        <v>24</v>
      </c>
      <c r="J138" s="60" t="s">
        <v>51</v>
      </c>
      <c r="K138" s="59">
        <v>0.0</v>
      </c>
      <c r="L138" s="68" t="s">
        <v>325</v>
      </c>
    </row>
    <row r="139" ht="15.75" customHeight="1">
      <c r="A139" s="15">
        <f t="shared" si="1"/>
        <v>138</v>
      </c>
      <c r="B139" s="61">
        <v>45971.0</v>
      </c>
      <c r="C139" s="72">
        <v>143.0</v>
      </c>
      <c r="D139" s="65">
        <v>300.79</v>
      </c>
      <c r="E139" s="66">
        <v>18903.5</v>
      </c>
      <c r="F139" s="58">
        <v>1000000.0</v>
      </c>
      <c r="G139" s="64" t="s">
        <v>326</v>
      </c>
      <c r="H139" s="64">
        <v>0.0</v>
      </c>
      <c r="I139" s="64">
        <v>0.0</v>
      </c>
      <c r="J139" s="60">
        <v>0.0</v>
      </c>
      <c r="K139" s="59" t="s">
        <v>327</v>
      </c>
      <c r="L139" s="73" t="s">
        <v>328</v>
      </c>
    </row>
    <row r="140" ht="15.75" customHeight="1">
      <c r="A140" s="15">
        <f t="shared" si="1"/>
        <v>139</v>
      </c>
      <c r="B140" s="61">
        <v>45971.0</v>
      </c>
      <c r="C140" s="72">
        <v>143.0</v>
      </c>
      <c r="D140" s="65">
        <v>300.79</v>
      </c>
      <c r="E140" s="66">
        <v>18903.5</v>
      </c>
      <c r="F140" s="58">
        <v>1000000.0</v>
      </c>
      <c r="G140" s="64" t="s">
        <v>326</v>
      </c>
      <c r="H140" s="64">
        <v>0.0</v>
      </c>
      <c r="I140" s="64">
        <v>0.0</v>
      </c>
      <c r="J140" s="60">
        <v>0.0</v>
      </c>
      <c r="K140" s="59" t="s">
        <v>329</v>
      </c>
      <c r="L140" s="73" t="s">
        <v>330</v>
      </c>
    </row>
    <row r="141" ht="15.75" customHeight="1">
      <c r="A141" s="15">
        <f t="shared" si="1"/>
        <v>140</v>
      </c>
      <c r="B141" s="61">
        <v>45971.0</v>
      </c>
      <c r="C141" s="72">
        <v>143.0</v>
      </c>
      <c r="D141" s="65">
        <v>300.79</v>
      </c>
      <c r="E141" s="66">
        <v>18903.5</v>
      </c>
      <c r="F141" s="58">
        <v>1000000.0</v>
      </c>
      <c r="G141" s="64" t="s">
        <v>326</v>
      </c>
      <c r="H141" s="64">
        <v>0.0</v>
      </c>
      <c r="I141" s="64">
        <v>0.0</v>
      </c>
      <c r="J141" s="60">
        <v>0.0</v>
      </c>
      <c r="K141" s="59" t="s">
        <v>331</v>
      </c>
      <c r="L141" s="73" t="s">
        <v>332</v>
      </c>
    </row>
    <row r="142" ht="15.75" customHeight="1">
      <c r="A142" s="15">
        <f t="shared" si="1"/>
        <v>141</v>
      </c>
      <c r="B142" s="61">
        <v>45971.0</v>
      </c>
      <c r="C142" s="72">
        <v>143.0</v>
      </c>
      <c r="D142" s="65">
        <v>300.79</v>
      </c>
      <c r="E142" s="66">
        <v>18903.5</v>
      </c>
      <c r="F142" s="58">
        <v>1000000.0</v>
      </c>
      <c r="G142" s="64" t="s">
        <v>326</v>
      </c>
      <c r="H142" s="64">
        <v>0.0</v>
      </c>
      <c r="I142" s="64">
        <v>0.0</v>
      </c>
      <c r="J142" s="60">
        <v>0.0</v>
      </c>
      <c r="K142" s="59" t="s">
        <v>333</v>
      </c>
      <c r="L142" s="73" t="s">
        <v>334</v>
      </c>
    </row>
    <row r="143" ht="15.75" customHeight="1">
      <c r="A143" s="15">
        <f t="shared" si="1"/>
        <v>142</v>
      </c>
      <c r="B143" s="61">
        <v>45971.0</v>
      </c>
      <c r="C143" s="72">
        <v>143.0</v>
      </c>
      <c r="D143" s="65">
        <v>300.79</v>
      </c>
      <c r="E143" s="66">
        <v>18903.5</v>
      </c>
      <c r="F143" s="58">
        <v>1000000.0</v>
      </c>
      <c r="G143" s="64" t="s">
        <v>326</v>
      </c>
      <c r="H143" s="64">
        <v>0.0</v>
      </c>
      <c r="I143" s="64">
        <v>0.0</v>
      </c>
      <c r="J143" s="60">
        <v>0.0</v>
      </c>
      <c r="K143" s="59" t="s">
        <v>333</v>
      </c>
      <c r="L143" s="73" t="s">
        <v>335</v>
      </c>
    </row>
    <row r="144" ht="15.75" customHeight="1">
      <c r="A144" s="15">
        <f t="shared" si="1"/>
        <v>143</v>
      </c>
      <c r="B144" s="61">
        <v>45971.0</v>
      </c>
      <c r="C144" s="72">
        <v>143.0</v>
      </c>
      <c r="D144" s="65">
        <v>300.79</v>
      </c>
      <c r="E144" s="66">
        <v>18903.5</v>
      </c>
      <c r="F144" s="58">
        <v>685984.0</v>
      </c>
      <c r="G144" s="64" t="s">
        <v>326</v>
      </c>
      <c r="H144" s="64">
        <v>0.0</v>
      </c>
      <c r="I144" s="64">
        <v>0.0</v>
      </c>
      <c r="J144" s="60" t="s">
        <v>67</v>
      </c>
      <c r="K144" s="59">
        <v>0.0</v>
      </c>
      <c r="L144" s="73" t="s">
        <v>336</v>
      </c>
    </row>
    <row r="145" ht="15.75" customHeight="1">
      <c r="A145" s="15">
        <f t="shared" si="1"/>
        <v>144</v>
      </c>
      <c r="B145" s="61">
        <v>45971.0</v>
      </c>
      <c r="C145" s="72">
        <v>144.0</v>
      </c>
      <c r="D145" s="65">
        <v>300.79</v>
      </c>
      <c r="E145" s="66">
        <v>18903.5</v>
      </c>
      <c r="F145" s="58">
        <v>114016.0</v>
      </c>
      <c r="G145" s="64" t="s">
        <v>326</v>
      </c>
      <c r="H145" s="64">
        <v>0.0</v>
      </c>
      <c r="I145" s="64">
        <v>0.0</v>
      </c>
      <c r="J145" s="60" t="s">
        <v>67</v>
      </c>
      <c r="K145" s="59">
        <v>0.0</v>
      </c>
      <c r="L145" s="73" t="s">
        <v>337</v>
      </c>
    </row>
    <row r="146" ht="15.75" customHeight="1">
      <c r="A146" s="15">
        <f t="shared" si="1"/>
        <v>145</v>
      </c>
      <c r="B146" s="61">
        <v>45972.0</v>
      </c>
      <c r="C146" s="72">
        <v>144.0</v>
      </c>
      <c r="D146" s="65">
        <v>300.79</v>
      </c>
      <c r="E146" s="66">
        <v>18903.5</v>
      </c>
      <c r="F146" s="58">
        <v>1000000.0</v>
      </c>
      <c r="G146" s="64" t="s">
        <v>326</v>
      </c>
      <c r="H146" s="64">
        <v>0.0</v>
      </c>
      <c r="I146" s="64">
        <v>0.0</v>
      </c>
      <c r="J146" s="60">
        <v>0.0</v>
      </c>
      <c r="K146" s="59" t="s">
        <v>338</v>
      </c>
      <c r="L146" s="73" t="s">
        <v>339</v>
      </c>
    </row>
    <row r="147" ht="15.75" customHeight="1">
      <c r="A147" s="15">
        <f t="shared" si="1"/>
        <v>146</v>
      </c>
      <c r="B147" s="61">
        <v>45972.0</v>
      </c>
      <c r="C147" s="72">
        <v>144.0</v>
      </c>
      <c r="D147" s="65">
        <v>300.79</v>
      </c>
      <c r="E147" s="66">
        <v>18903.5</v>
      </c>
      <c r="F147" s="58">
        <v>1000000.0</v>
      </c>
      <c r="G147" s="64" t="s">
        <v>326</v>
      </c>
      <c r="H147" s="64">
        <v>0.0</v>
      </c>
      <c r="I147" s="64">
        <v>0.0</v>
      </c>
      <c r="J147" s="60">
        <v>0.0</v>
      </c>
      <c r="K147" s="41" t="s">
        <v>340</v>
      </c>
      <c r="L147" s="73" t="s">
        <v>341</v>
      </c>
    </row>
    <row r="148" ht="15.75" customHeight="1">
      <c r="A148" s="15">
        <f t="shared" si="1"/>
        <v>147</v>
      </c>
      <c r="B148" s="61">
        <v>45972.0</v>
      </c>
      <c r="C148" s="72">
        <v>144.0</v>
      </c>
      <c r="D148" s="65">
        <v>300.79</v>
      </c>
      <c r="E148" s="66">
        <v>18903.5</v>
      </c>
      <c r="F148" s="58">
        <v>1000000.0</v>
      </c>
      <c r="G148" s="64" t="s">
        <v>326</v>
      </c>
      <c r="H148" s="64">
        <v>0.0</v>
      </c>
      <c r="I148" s="64">
        <v>0.0</v>
      </c>
      <c r="J148" s="60">
        <v>0.0</v>
      </c>
      <c r="K148" s="74" t="s">
        <v>342</v>
      </c>
      <c r="L148" s="73" t="s">
        <v>343</v>
      </c>
    </row>
    <row r="149" ht="15.75" customHeight="1">
      <c r="A149" s="15">
        <f t="shared" si="1"/>
        <v>148</v>
      </c>
      <c r="B149" s="61">
        <v>45972.0</v>
      </c>
      <c r="C149" s="72">
        <v>144.0</v>
      </c>
      <c r="D149" s="65">
        <v>300.79</v>
      </c>
      <c r="E149" s="66">
        <v>18903.5</v>
      </c>
      <c r="F149" s="58">
        <v>2200000.0</v>
      </c>
      <c r="G149" s="64" t="s">
        <v>326</v>
      </c>
      <c r="H149" s="64">
        <v>0.0</v>
      </c>
      <c r="I149" s="64">
        <v>0.0</v>
      </c>
      <c r="J149" s="60" t="s">
        <v>67</v>
      </c>
      <c r="K149" s="59">
        <v>0.0</v>
      </c>
      <c r="L149" s="73" t="s">
        <v>344</v>
      </c>
    </row>
    <row r="150" ht="15.75" customHeight="1">
      <c r="A150" s="15">
        <f t="shared" si="1"/>
        <v>149</v>
      </c>
      <c r="B150" s="61">
        <v>45976.0</v>
      </c>
      <c r="C150" s="72">
        <v>144.0</v>
      </c>
      <c r="D150" s="65">
        <v>300.79</v>
      </c>
      <c r="E150" s="66">
        <v>18903.5</v>
      </c>
      <c r="F150" s="58">
        <v>371968.0</v>
      </c>
      <c r="G150" s="64" t="s">
        <v>326</v>
      </c>
      <c r="H150" s="64">
        <v>0.0</v>
      </c>
      <c r="I150" s="64">
        <v>0.0</v>
      </c>
      <c r="J150" s="60" t="s">
        <v>67</v>
      </c>
      <c r="K150" s="59">
        <v>0.0</v>
      </c>
      <c r="L150" s="73" t="s">
        <v>345</v>
      </c>
    </row>
    <row r="151" ht="15.75" customHeight="1">
      <c r="A151" s="15">
        <f t="shared" si="1"/>
        <v>150</v>
      </c>
      <c r="B151" s="61">
        <v>45976.0</v>
      </c>
      <c r="C151" s="72">
        <v>624.0</v>
      </c>
      <c r="D151" s="75" t="s">
        <v>346</v>
      </c>
      <c r="E151" s="76">
        <v>18903.5</v>
      </c>
      <c r="F151" s="58">
        <v>306621.0</v>
      </c>
      <c r="G151" s="64" t="s">
        <v>326</v>
      </c>
      <c r="H151" s="64">
        <v>0.0</v>
      </c>
      <c r="I151" s="64">
        <v>0.0</v>
      </c>
      <c r="J151" s="60" t="s">
        <v>67</v>
      </c>
      <c r="K151" s="59">
        <v>0.0</v>
      </c>
      <c r="L151" s="73" t="s">
        <v>347</v>
      </c>
    </row>
    <row r="152" ht="15.75" customHeight="1">
      <c r="A152" s="15">
        <f t="shared" si="1"/>
        <v>151</v>
      </c>
      <c r="B152" s="61">
        <v>45976.0</v>
      </c>
      <c r="C152" s="72">
        <v>623.0</v>
      </c>
      <c r="D152" s="54" t="s">
        <v>348</v>
      </c>
      <c r="E152" s="54">
        <v>18903.5</v>
      </c>
      <c r="F152" s="77">
        <v>71411.0</v>
      </c>
      <c r="G152" s="64" t="s">
        <v>326</v>
      </c>
      <c r="H152" s="64">
        <v>0.0</v>
      </c>
      <c r="I152" s="64">
        <v>0.0</v>
      </c>
      <c r="J152" s="60" t="s">
        <v>9</v>
      </c>
      <c r="K152" s="59">
        <v>0.0</v>
      </c>
      <c r="L152" s="73" t="s">
        <v>349</v>
      </c>
    </row>
    <row r="153" ht="15.75" customHeight="1">
      <c r="A153" s="15">
        <f t="shared" si="1"/>
        <v>152</v>
      </c>
      <c r="B153" s="61">
        <v>45978.0</v>
      </c>
      <c r="C153" s="78">
        <v>624.0</v>
      </c>
      <c r="D153" s="75" t="s">
        <v>346</v>
      </c>
      <c r="E153" s="76">
        <v>18903.5</v>
      </c>
      <c r="F153" s="58">
        <v>995000.0</v>
      </c>
      <c r="G153" s="64" t="s">
        <v>326</v>
      </c>
      <c r="H153" s="64">
        <v>0.0</v>
      </c>
      <c r="I153" s="64">
        <v>0.0</v>
      </c>
      <c r="J153" s="60">
        <v>0.0</v>
      </c>
      <c r="K153" s="59" t="s">
        <v>350</v>
      </c>
      <c r="L153" s="73" t="s">
        <v>351</v>
      </c>
    </row>
    <row r="154" ht="15.75" customHeight="1">
      <c r="A154" s="15">
        <f t="shared" si="1"/>
        <v>153</v>
      </c>
      <c r="B154" s="61">
        <v>45978.0</v>
      </c>
      <c r="C154" s="78">
        <v>624.0</v>
      </c>
      <c r="D154" s="75" t="s">
        <v>346</v>
      </c>
      <c r="E154" s="76">
        <v>18903.5</v>
      </c>
      <c r="F154" s="58">
        <v>995000.0</v>
      </c>
      <c r="G154" s="64" t="s">
        <v>326</v>
      </c>
      <c r="H154" s="64">
        <v>0.0</v>
      </c>
      <c r="I154" s="64">
        <v>0.0</v>
      </c>
      <c r="J154" s="60">
        <v>0.0</v>
      </c>
      <c r="K154" s="59" t="s">
        <v>352</v>
      </c>
      <c r="L154" s="73" t="s">
        <v>353</v>
      </c>
    </row>
    <row r="155" ht="15.75" customHeight="1">
      <c r="A155" s="15">
        <f t="shared" si="1"/>
        <v>154</v>
      </c>
      <c r="B155" s="61">
        <v>45978.0</v>
      </c>
      <c r="C155" s="78">
        <v>624.0</v>
      </c>
      <c r="D155" s="75" t="s">
        <v>346</v>
      </c>
      <c r="E155" s="76">
        <v>18903.5</v>
      </c>
      <c r="F155" s="58">
        <v>1776000.0</v>
      </c>
      <c r="G155" s="64" t="s">
        <v>326</v>
      </c>
      <c r="H155" s="64">
        <v>0.0</v>
      </c>
      <c r="I155" s="64">
        <v>0.0</v>
      </c>
      <c r="J155" s="60">
        <v>0.0</v>
      </c>
      <c r="K155" s="59" t="s">
        <v>290</v>
      </c>
      <c r="L155" s="73" t="s">
        <v>354</v>
      </c>
    </row>
    <row r="156" ht="15.75" customHeight="1">
      <c r="A156" s="15">
        <f t="shared" si="1"/>
        <v>155</v>
      </c>
      <c r="B156" s="61">
        <v>45986.0</v>
      </c>
      <c r="C156" s="72">
        <v>27.0</v>
      </c>
      <c r="D156" s="65">
        <v>220.06</v>
      </c>
      <c r="E156" s="66">
        <v>18903.5</v>
      </c>
      <c r="F156" s="58">
        <v>5026420.0</v>
      </c>
      <c r="G156" s="64" t="s">
        <v>326</v>
      </c>
      <c r="H156" s="64">
        <v>0.0</v>
      </c>
      <c r="I156" s="64">
        <v>0.0</v>
      </c>
      <c r="J156" s="60">
        <v>0.0</v>
      </c>
      <c r="K156" s="41" t="s">
        <v>355</v>
      </c>
      <c r="L156" s="73" t="s">
        <v>356</v>
      </c>
    </row>
    <row r="157" ht="15.75" customHeight="1">
      <c r="A157" s="15">
        <f t="shared" si="1"/>
        <v>156</v>
      </c>
      <c r="B157" s="61">
        <v>45986.0</v>
      </c>
      <c r="C157" s="79">
        <v>624.0</v>
      </c>
      <c r="D157" s="75" t="s">
        <v>346</v>
      </c>
      <c r="E157" s="80">
        <v>18903.5</v>
      </c>
      <c r="F157" s="58">
        <v>2957600.0</v>
      </c>
      <c r="G157" s="64" t="s">
        <v>326</v>
      </c>
      <c r="H157" s="64">
        <v>0.0</v>
      </c>
      <c r="I157" s="64">
        <v>0.0</v>
      </c>
      <c r="J157" s="60" t="s">
        <v>67</v>
      </c>
      <c r="K157" s="59">
        <v>0.0</v>
      </c>
      <c r="L157" s="73" t="s">
        <v>357</v>
      </c>
    </row>
    <row r="158" ht="15.75" customHeight="1">
      <c r="A158" s="15">
        <f t="shared" si="1"/>
        <v>157</v>
      </c>
      <c r="B158" s="61">
        <v>45978.0</v>
      </c>
      <c r="C158" s="81">
        <v>147.0</v>
      </c>
      <c r="D158" s="65" t="s">
        <v>358</v>
      </c>
      <c r="E158" s="66">
        <v>28500.0</v>
      </c>
      <c r="F158" s="82">
        <v>200000.0</v>
      </c>
      <c r="G158" s="83" t="s">
        <v>359</v>
      </c>
      <c r="H158" s="40" t="s">
        <v>360</v>
      </c>
      <c r="I158" s="38" t="s">
        <v>361</v>
      </c>
      <c r="J158" s="60" t="s">
        <v>67</v>
      </c>
      <c r="K158" s="59">
        <v>0.0</v>
      </c>
      <c r="L158" s="73" t="s">
        <v>362</v>
      </c>
    </row>
    <row r="159" ht="15.75" customHeight="1">
      <c r="A159" s="15">
        <f t="shared" si="1"/>
        <v>158</v>
      </c>
      <c r="B159" s="61">
        <v>45990.0</v>
      </c>
      <c r="C159" s="81">
        <v>147.0</v>
      </c>
      <c r="D159" s="65" t="s">
        <v>358</v>
      </c>
      <c r="E159" s="66">
        <v>28500.0</v>
      </c>
      <c r="F159" s="82">
        <v>1000000.0</v>
      </c>
      <c r="G159" s="83" t="s">
        <v>359</v>
      </c>
      <c r="H159" s="40" t="s">
        <v>360</v>
      </c>
      <c r="I159" s="38" t="s">
        <v>361</v>
      </c>
      <c r="J159" s="60" t="s">
        <v>67</v>
      </c>
      <c r="K159" s="59">
        <v>0.0</v>
      </c>
      <c r="L159" s="73" t="s">
        <v>363</v>
      </c>
    </row>
    <row r="160" ht="15.75" customHeight="1">
      <c r="A160" s="15">
        <f t="shared" si="1"/>
        <v>159</v>
      </c>
      <c r="B160" s="61">
        <v>45990.0</v>
      </c>
      <c r="C160" s="81">
        <v>147.0</v>
      </c>
      <c r="D160" s="65" t="s">
        <v>358</v>
      </c>
      <c r="E160" s="66">
        <v>28500.0</v>
      </c>
      <c r="F160" s="82">
        <v>1000000.0</v>
      </c>
      <c r="G160" s="83" t="s">
        <v>359</v>
      </c>
      <c r="H160" s="40" t="s">
        <v>360</v>
      </c>
      <c r="I160" s="38" t="s">
        <v>361</v>
      </c>
      <c r="J160" s="60" t="s">
        <v>67</v>
      </c>
      <c r="K160" s="59">
        <v>0.0</v>
      </c>
      <c r="L160" s="73" t="s">
        <v>364</v>
      </c>
    </row>
    <row r="161" ht="15.75" customHeight="1">
      <c r="A161" s="15">
        <f t="shared" si="1"/>
        <v>160</v>
      </c>
      <c r="B161" s="61">
        <v>45990.0</v>
      </c>
      <c r="C161" s="81">
        <v>147.0</v>
      </c>
      <c r="D161" s="65" t="s">
        <v>358</v>
      </c>
      <c r="E161" s="66">
        <v>28500.0</v>
      </c>
      <c r="F161" s="82">
        <v>1000000.0</v>
      </c>
      <c r="G161" s="83" t="s">
        <v>359</v>
      </c>
      <c r="H161" s="40" t="s">
        <v>360</v>
      </c>
      <c r="I161" s="38" t="s">
        <v>361</v>
      </c>
      <c r="J161" s="60" t="s">
        <v>67</v>
      </c>
      <c r="K161" s="59">
        <v>0.0</v>
      </c>
      <c r="L161" s="73" t="s">
        <v>365</v>
      </c>
    </row>
    <row r="162" ht="15.75" customHeight="1">
      <c r="A162" s="15">
        <f t="shared" si="1"/>
        <v>161</v>
      </c>
      <c r="B162" s="61">
        <v>45990.0</v>
      </c>
      <c r="C162" s="81">
        <v>147.0</v>
      </c>
      <c r="D162" s="65" t="s">
        <v>358</v>
      </c>
      <c r="E162" s="66">
        <v>28500.0</v>
      </c>
      <c r="F162" s="82">
        <v>1000000.0</v>
      </c>
      <c r="G162" s="83" t="s">
        <v>359</v>
      </c>
      <c r="H162" s="40" t="s">
        <v>360</v>
      </c>
      <c r="I162" s="38" t="s">
        <v>361</v>
      </c>
      <c r="J162" s="60" t="s">
        <v>67</v>
      </c>
      <c r="K162" s="59">
        <v>0.0</v>
      </c>
      <c r="L162" s="73" t="s">
        <v>366</v>
      </c>
    </row>
    <row r="163" ht="15.75" customHeight="1">
      <c r="A163" s="15">
        <f t="shared" si="1"/>
        <v>162</v>
      </c>
      <c r="B163" s="61">
        <v>45990.0</v>
      </c>
      <c r="C163" s="81">
        <v>147.0</v>
      </c>
      <c r="D163" s="65" t="s">
        <v>358</v>
      </c>
      <c r="E163" s="66">
        <v>28500.0</v>
      </c>
      <c r="F163" s="82">
        <v>1000000.0</v>
      </c>
      <c r="G163" s="83" t="s">
        <v>359</v>
      </c>
      <c r="H163" s="40" t="s">
        <v>360</v>
      </c>
      <c r="I163" s="38" t="s">
        <v>361</v>
      </c>
      <c r="J163" s="60" t="s">
        <v>67</v>
      </c>
      <c r="K163" s="59">
        <v>0.0</v>
      </c>
      <c r="L163" s="73" t="s">
        <v>367</v>
      </c>
    </row>
    <row r="164" ht="15.75" customHeight="1">
      <c r="A164" s="15">
        <f t="shared" si="1"/>
        <v>163</v>
      </c>
      <c r="B164" s="61">
        <v>45990.0</v>
      </c>
      <c r="C164" s="81">
        <v>147.0</v>
      </c>
      <c r="D164" s="65" t="s">
        <v>358</v>
      </c>
      <c r="E164" s="66">
        <v>28500.0</v>
      </c>
      <c r="F164" s="82">
        <v>1000000.0</v>
      </c>
      <c r="G164" s="83" t="s">
        <v>359</v>
      </c>
      <c r="H164" s="40" t="s">
        <v>360</v>
      </c>
      <c r="I164" s="38" t="s">
        <v>361</v>
      </c>
      <c r="J164" s="60" t="s">
        <v>67</v>
      </c>
      <c r="K164" s="59">
        <v>0.0</v>
      </c>
      <c r="L164" s="73" t="s">
        <v>368</v>
      </c>
    </row>
    <row r="165" ht="15.75" customHeight="1">
      <c r="A165" s="15">
        <f t="shared" si="1"/>
        <v>164</v>
      </c>
      <c r="B165" s="61">
        <v>45990.0</v>
      </c>
      <c r="C165" s="81">
        <v>147.0</v>
      </c>
      <c r="D165" s="65" t="s">
        <v>358</v>
      </c>
      <c r="E165" s="66">
        <v>28500.0</v>
      </c>
      <c r="F165" s="82">
        <v>1000000.0</v>
      </c>
      <c r="G165" s="83" t="s">
        <v>359</v>
      </c>
      <c r="H165" s="40" t="s">
        <v>360</v>
      </c>
      <c r="I165" s="38" t="s">
        <v>361</v>
      </c>
      <c r="J165" s="60" t="s">
        <v>67</v>
      </c>
      <c r="K165" s="59">
        <v>0.0</v>
      </c>
      <c r="L165" s="73" t="s">
        <v>369</v>
      </c>
    </row>
    <row r="166" ht="15.75" customHeight="1">
      <c r="A166" s="15">
        <f t="shared" si="1"/>
        <v>165</v>
      </c>
      <c r="B166" s="61">
        <v>45990.0</v>
      </c>
      <c r="C166" s="81">
        <v>147.0</v>
      </c>
      <c r="D166" s="65" t="s">
        <v>358</v>
      </c>
      <c r="E166" s="66">
        <v>28500.0</v>
      </c>
      <c r="F166" s="82">
        <v>800000.0</v>
      </c>
      <c r="G166" s="83" t="s">
        <v>359</v>
      </c>
      <c r="H166" s="40" t="s">
        <v>360</v>
      </c>
      <c r="I166" s="38" t="s">
        <v>361</v>
      </c>
      <c r="J166" s="60" t="s">
        <v>67</v>
      </c>
      <c r="K166" s="59">
        <v>0.0</v>
      </c>
      <c r="L166" s="73" t="s">
        <v>370</v>
      </c>
    </row>
    <row r="167" ht="15.75" customHeight="1">
      <c r="A167" s="15">
        <f t="shared" si="1"/>
        <v>166</v>
      </c>
      <c r="B167" s="61">
        <v>45993.0</v>
      </c>
      <c r="C167" s="81">
        <v>147.0</v>
      </c>
      <c r="D167" s="65" t="s">
        <v>358</v>
      </c>
      <c r="E167" s="66">
        <v>28500.0</v>
      </c>
      <c r="F167" s="82">
        <v>1000000.0</v>
      </c>
      <c r="G167" s="83" t="s">
        <v>371</v>
      </c>
      <c r="H167" s="40" t="s">
        <v>360</v>
      </c>
      <c r="I167" s="38" t="s">
        <v>361</v>
      </c>
      <c r="J167" s="60">
        <v>0.0</v>
      </c>
      <c r="K167" s="59" t="s">
        <v>372</v>
      </c>
      <c r="L167" s="73"/>
    </row>
    <row r="168" ht="15.75" customHeight="1">
      <c r="A168" s="15">
        <f t="shared" si="1"/>
        <v>167</v>
      </c>
      <c r="B168" s="61">
        <v>45973.0</v>
      </c>
      <c r="C168" s="81">
        <v>552.0</v>
      </c>
      <c r="D168" s="65">
        <v>183.36</v>
      </c>
      <c r="E168" s="63">
        <v>26000.0</v>
      </c>
      <c r="F168" s="17">
        <v>189000.0</v>
      </c>
      <c r="G168" s="83" t="s">
        <v>373</v>
      </c>
      <c r="H168" s="83">
        <v>0.0</v>
      </c>
      <c r="I168" s="83">
        <v>0.0</v>
      </c>
      <c r="J168" s="60">
        <v>0.0</v>
      </c>
      <c r="K168" s="29" t="s">
        <v>374</v>
      </c>
      <c r="L168" s="68" t="s">
        <v>375</v>
      </c>
    </row>
    <row r="169" ht="15.75" customHeight="1">
      <c r="A169" s="15">
        <f t="shared" si="1"/>
        <v>168</v>
      </c>
      <c r="B169" s="61">
        <v>45973.0</v>
      </c>
      <c r="C169" s="81">
        <v>552.0</v>
      </c>
      <c r="D169" s="65">
        <v>183.36</v>
      </c>
      <c r="E169" s="63">
        <v>26000.0</v>
      </c>
      <c r="F169" s="17">
        <v>11000.0</v>
      </c>
      <c r="G169" s="83" t="s">
        <v>373</v>
      </c>
      <c r="H169" s="83">
        <v>0.0</v>
      </c>
      <c r="I169" s="83">
        <v>0.0</v>
      </c>
      <c r="J169" s="60">
        <v>0.0</v>
      </c>
      <c r="K169" s="29" t="s">
        <v>376</v>
      </c>
      <c r="L169" s="68" t="s">
        <v>375</v>
      </c>
    </row>
    <row r="170" ht="15.75" customHeight="1">
      <c r="A170" s="15">
        <f t="shared" si="1"/>
        <v>169</v>
      </c>
      <c r="B170" s="61">
        <v>45976.0</v>
      </c>
      <c r="C170" s="81">
        <v>352.0</v>
      </c>
      <c r="D170" s="65">
        <v>183.36</v>
      </c>
      <c r="E170" s="84">
        <v>26000.0</v>
      </c>
      <c r="F170" s="58">
        <v>480000.0</v>
      </c>
      <c r="G170" s="83" t="s">
        <v>377</v>
      </c>
      <c r="H170" s="83">
        <v>0.0</v>
      </c>
      <c r="I170" s="83">
        <v>0.0</v>
      </c>
      <c r="J170" s="60">
        <v>0.0</v>
      </c>
      <c r="K170" s="59" t="s">
        <v>378</v>
      </c>
      <c r="L170" s="85" t="s">
        <v>379</v>
      </c>
    </row>
    <row r="171" ht="15.75" customHeight="1">
      <c r="A171" s="15">
        <f t="shared" si="1"/>
        <v>170</v>
      </c>
      <c r="B171" s="61">
        <v>45988.0</v>
      </c>
      <c r="C171" s="81">
        <v>528.0</v>
      </c>
      <c r="D171" s="65">
        <v>350.14</v>
      </c>
      <c r="E171" s="84">
        <v>28500.0</v>
      </c>
      <c r="F171" s="58">
        <v>50000.0</v>
      </c>
      <c r="G171" s="83" t="s">
        <v>380</v>
      </c>
      <c r="H171" s="86" t="s">
        <v>381</v>
      </c>
      <c r="I171" s="83">
        <v>0.0</v>
      </c>
      <c r="J171" s="60" t="s">
        <v>67</v>
      </c>
      <c r="K171" s="59">
        <v>0.0</v>
      </c>
      <c r="L171" s="87" t="s">
        <v>382</v>
      </c>
    </row>
    <row r="172" ht="15.75" customHeight="1">
      <c r="A172" s="15">
        <f t="shared" si="1"/>
        <v>171</v>
      </c>
      <c r="B172" s="27" t="s">
        <v>383</v>
      </c>
      <c r="C172" s="81">
        <v>528.0</v>
      </c>
      <c r="D172" s="65">
        <v>350.14</v>
      </c>
      <c r="E172" s="84">
        <v>28500.0</v>
      </c>
      <c r="F172" s="17">
        <v>450000.0</v>
      </c>
      <c r="G172" s="88" t="s">
        <v>380</v>
      </c>
      <c r="H172" s="88">
        <v>0.0</v>
      </c>
      <c r="I172" s="88">
        <v>0.0</v>
      </c>
      <c r="J172" s="48" t="s">
        <v>9</v>
      </c>
      <c r="K172" s="41">
        <v>0.0</v>
      </c>
      <c r="L172" s="89" t="s">
        <v>384</v>
      </c>
    </row>
    <row r="173" ht="15.75" customHeight="1">
      <c r="A173" s="48"/>
      <c r="B173" s="27"/>
      <c r="C173" s="48"/>
      <c r="D173" s="55"/>
      <c r="E173" s="56"/>
      <c r="F173" s="17"/>
      <c r="G173" s="90"/>
      <c r="H173" s="90"/>
      <c r="I173" s="90"/>
      <c r="J173" s="48"/>
      <c r="K173" s="41"/>
      <c r="L173" s="89"/>
    </row>
    <row r="174" ht="15.75" customHeight="1">
      <c r="A174" s="91" t="s">
        <v>385</v>
      </c>
      <c r="B174" s="92"/>
      <c r="C174" s="92"/>
      <c r="D174" s="92"/>
      <c r="E174" s="93"/>
      <c r="F174" s="94">
        <f>SUM(F2:F172)</f>
        <v>97458833.4</v>
      </c>
      <c r="G174" s="95"/>
      <c r="H174" s="96"/>
      <c r="I174" s="96"/>
      <c r="J174" s="97"/>
      <c r="K174" s="97"/>
      <c r="L174" s="98"/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74:E17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20.29"/>
    <col customWidth="1" min="9" max="15" width="8.71"/>
    <col customWidth="1" min="16" max="16" width="29.57"/>
    <col customWidth="1" min="17" max="26" width="8.71"/>
  </cols>
  <sheetData>
    <row r="3">
      <c r="B3" s="99" t="s">
        <v>386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1"/>
    </row>
    <row r="4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3" t="s">
        <v>9</v>
      </c>
      <c r="L4" s="2" t="s">
        <v>10</v>
      </c>
      <c r="M4" s="4" t="s">
        <v>11</v>
      </c>
      <c r="N4" s="102" t="s">
        <v>387</v>
      </c>
    </row>
    <row r="5">
      <c r="B5" s="103">
        <v>17.0</v>
      </c>
      <c r="C5" s="27">
        <v>45931.0</v>
      </c>
      <c r="D5" s="48">
        <v>515.0</v>
      </c>
      <c r="E5" s="29"/>
      <c r="F5" s="48"/>
      <c r="G5" s="17"/>
      <c r="H5" s="34" t="s">
        <v>388</v>
      </c>
      <c r="I5" s="34"/>
      <c r="J5" s="34"/>
      <c r="K5" s="104"/>
      <c r="L5" s="104"/>
      <c r="M5" s="39"/>
      <c r="N5" s="105"/>
    </row>
    <row r="6">
      <c r="B6" s="103">
        <v>18.0</v>
      </c>
      <c r="C6" s="27">
        <v>45931.0</v>
      </c>
      <c r="D6" s="48">
        <v>510.0</v>
      </c>
      <c r="E6" s="29"/>
      <c r="F6" s="48"/>
      <c r="G6" s="17"/>
      <c r="H6" s="34" t="s">
        <v>389</v>
      </c>
      <c r="I6" s="34"/>
      <c r="J6" s="34"/>
      <c r="K6" s="104"/>
      <c r="L6" s="104"/>
      <c r="M6" s="39"/>
      <c r="N6" s="105"/>
    </row>
    <row r="7">
      <c r="B7" s="106">
        <v>19.0</v>
      </c>
      <c r="C7" s="27">
        <v>45931.0</v>
      </c>
      <c r="D7" s="48">
        <v>596.0</v>
      </c>
      <c r="E7" s="48"/>
      <c r="F7" s="48"/>
      <c r="G7" s="17"/>
      <c r="H7" s="34" t="s">
        <v>390</v>
      </c>
      <c r="I7" s="34"/>
      <c r="J7" s="34"/>
      <c r="K7" s="48"/>
      <c r="L7" s="48"/>
      <c r="M7" s="39"/>
      <c r="N7" s="105"/>
    </row>
    <row r="8">
      <c r="B8" s="106">
        <v>20.0</v>
      </c>
      <c r="C8" s="27">
        <v>45931.0</v>
      </c>
      <c r="D8" s="48">
        <v>425.0</v>
      </c>
      <c r="E8" s="48"/>
      <c r="F8" s="48"/>
      <c r="G8" s="17"/>
      <c r="H8" s="34" t="s">
        <v>391</v>
      </c>
      <c r="I8" s="34"/>
      <c r="J8" s="34"/>
      <c r="K8" s="48"/>
      <c r="L8" s="48"/>
      <c r="M8" s="39"/>
      <c r="N8" s="105"/>
    </row>
    <row r="9">
      <c r="B9" s="106">
        <v>21.0</v>
      </c>
      <c r="C9" s="27">
        <v>45931.0</v>
      </c>
      <c r="D9" s="48">
        <v>415.0</v>
      </c>
      <c r="E9" s="48"/>
      <c r="F9" s="48"/>
      <c r="G9" s="17"/>
      <c r="H9" s="34" t="s">
        <v>392</v>
      </c>
      <c r="I9" s="34"/>
      <c r="J9" s="34"/>
      <c r="K9" s="48"/>
      <c r="L9" s="104"/>
      <c r="M9" s="39"/>
      <c r="N9" s="107"/>
    </row>
    <row r="10">
      <c r="B10" s="106">
        <v>22.0</v>
      </c>
      <c r="C10" s="27">
        <v>45931.0</v>
      </c>
      <c r="D10" s="48">
        <v>504.0</v>
      </c>
      <c r="E10" s="48"/>
      <c r="F10" s="48"/>
      <c r="G10" s="17"/>
      <c r="H10" s="34" t="s">
        <v>393</v>
      </c>
      <c r="I10" s="34"/>
      <c r="J10" s="34"/>
      <c r="K10" s="48"/>
      <c r="L10" s="104"/>
      <c r="M10" s="39"/>
      <c r="N10" s="107"/>
    </row>
    <row r="11">
      <c r="B11" s="106">
        <v>23.0</v>
      </c>
      <c r="C11" s="27">
        <v>45931.0</v>
      </c>
      <c r="D11" s="48">
        <v>505.0</v>
      </c>
      <c r="E11" s="48"/>
      <c r="F11" s="48"/>
      <c r="G11" s="17"/>
      <c r="H11" s="34" t="s">
        <v>394</v>
      </c>
      <c r="I11" s="34"/>
      <c r="J11" s="34"/>
      <c r="K11" s="48"/>
      <c r="L11" s="104"/>
      <c r="M11" s="39"/>
      <c r="N11" s="107"/>
    </row>
    <row r="12">
      <c r="B12" s="106">
        <v>24.0</v>
      </c>
      <c r="C12" s="27">
        <v>45931.0</v>
      </c>
      <c r="D12" s="48">
        <v>506.0</v>
      </c>
      <c r="E12" s="48"/>
      <c r="F12" s="48"/>
      <c r="G12" s="17"/>
      <c r="H12" s="34" t="s">
        <v>395</v>
      </c>
      <c r="I12" s="34"/>
      <c r="J12" s="34"/>
      <c r="K12" s="48"/>
      <c r="L12" s="104"/>
      <c r="M12" s="39"/>
      <c r="N12" s="107"/>
    </row>
    <row r="13">
      <c r="B13" s="106">
        <v>25.0</v>
      </c>
      <c r="C13" s="27">
        <v>45931.0</v>
      </c>
      <c r="D13" s="48">
        <v>509.0</v>
      </c>
      <c r="E13" s="48"/>
      <c r="F13" s="48"/>
      <c r="G13" s="17"/>
      <c r="H13" s="34" t="s">
        <v>396</v>
      </c>
      <c r="I13" s="34"/>
      <c r="J13" s="34"/>
      <c r="K13" s="48"/>
      <c r="L13" s="104"/>
      <c r="M13" s="39"/>
      <c r="N13" s="107"/>
    </row>
    <row r="14" ht="19.5" customHeight="1">
      <c r="B14" s="108">
        <v>45.0</v>
      </c>
      <c r="C14" s="109" t="s">
        <v>269</v>
      </c>
      <c r="D14" s="110">
        <v>524.0</v>
      </c>
      <c r="E14" s="111"/>
      <c r="F14" s="112">
        <v>28500.0</v>
      </c>
      <c r="G14" s="113"/>
      <c r="H14" s="114"/>
      <c r="I14" s="114"/>
      <c r="J14" s="114"/>
      <c r="K14" s="114"/>
      <c r="L14" s="115"/>
      <c r="M14" s="41"/>
      <c r="N14" s="116">
        <v>0.0</v>
      </c>
      <c r="O14" s="117"/>
      <c r="P14" s="118" t="s">
        <v>397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N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