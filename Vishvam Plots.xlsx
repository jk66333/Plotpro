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<sst xmlns="http://schemas.openxmlformats.org/spreadsheetml/2006/main" count="690" uniqueCount="391">
  <si>
    <t>VISHVAM PLOT DETAILS (Total Flats : 628)</t>
  </si>
  <si>
    <t>SNO</t>
  </si>
  <si>
    <t>DATE OF BOOKING</t>
  </si>
  <si>
    <t>PLOT NO.</t>
  </si>
  <si>
    <t>EXTENT</t>
  </si>
  <si>
    <t>PRICE</t>
  </si>
  <si>
    <t>CGM NAME</t>
  </si>
  <si>
    <t>Senior G.M.</t>
  </si>
  <si>
    <t>G.M</t>
  </si>
  <si>
    <t>A.G.M</t>
  </si>
  <si>
    <t>D.G.M</t>
  </si>
  <si>
    <t>ADVANCE AMOUNT</t>
  </si>
  <si>
    <t>Custmer Name</t>
  </si>
  <si>
    <t>cash</t>
  </si>
  <si>
    <t>Bank transfer</t>
  </si>
  <si>
    <t>Receipt no</t>
  </si>
  <si>
    <t>Agrement Date (15days)</t>
  </si>
  <si>
    <t>580</t>
  </si>
  <si>
    <t>G.Jagadeesh</t>
  </si>
  <si>
    <t>Prema Jyothirmayi</t>
  </si>
  <si>
    <t>Receipt No.005</t>
  </si>
  <si>
    <t>05.11.2025</t>
  </si>
  <si>
    <t>Receipt No.036</t>
  </si>
  <si>
    <t>phone pay</t>
  </si>
  <si>
    <t>Receipt No.037</t>
  </si>
  <si>
    <t>07.11.2025</t>
  </si>
  <si>
    <t>Transfer</t>
  </si>
  <si>
    <t>Receipt No.043</t>
  </si>
  <si>
    <t>608</t>
  </si>
  <si>
    <t>J.V.Samba siva Rao</t>
  </si>
  <si>
    <t>Kiran Kumar</t>
  </si>
  <si>
    <t>Dr.Bangariahgari Chakrapani</t>
  </si>
  <si>
    <t>RTGS UTR No:DCBL202510165000165418</t>
  </si>
  <si>
    <t>Receipt No.006</t>
  </si>
  <si>
    <t>cash Rs.488000-/ and phone Pay Rs.12000</t>
  </si>
  <si>
    <t>Sbi chno.077468 Rs.500000 Dated:02.11.2025 (Cheque Bounce)</t>
  </si>
  <si>
    <t>Receipt No.026 &amp;027,&amp;028</t>
  </si>
  <si>
    <t>06.11.2025</t>
  </si>
  <si>
    <t>RTGS</t>
  </si>
  <si>
    <t>Receipt No.040</t>
  </si>
  <si>
    <t>09.11.2025</t>
  </si>
  <si>
    <t>Cash-</t>
  </si>
  <si>
    <t>Receipt No:053,054,055,056,057&amp;058</t>
  </si>
  <si>
    <t>310</t>
  </si>
  <si>
    <t>Nazeer</t>
  </si>
  <si>
    <t>V.Ramana Murthy</t>
  </si>
  <si>
    <t>R.T.G.S</t>
  </si>
  <si>
    <t>Receipt No.007</t>
  </si>
  <si>
    <t>616</t>
  </si>
  <si>
    <t>V.Naresh</t>
  </si>
  <si>
    <t>sayed Ali</t>
  </si>
  <si>
    <t>Kate Palli Naresh</t>
  </si>
  <si>
    <t>UPI No:661135209981</t>
  </si>
  <si>
    <t>Receipt NO.008</t>
  </si>
  <si>
    <t>UPI No:162898166563</t>
  </si>
  <si>
    <t>Receipt NO.011</t>
  </si>
  <si>
    <t>27.10.2025</t>
  </si>
  <si>
    <t>-</t>
  </si>
  <si>
    <t>UBINR22025102701329803</t>
  </si>
  <si>
    <t>Receipt NO.017</t>
  </si>
  <si>
    <t>04.11.2025</t>
  </si>
  <si>
    <t>CASH</t>
  </si>
  <si>
    <t>Receipt NO.034</t>
  </si>
  <si>
    <t>UTR No:UBINR220251104041009840</t>
  </si>
  <si>
    <t>Receipt NO.035</t>
  </si>
  <si>
    <t>Receipt No.041</t>
  </si>
  <si>
    <t>15.11.2025</t>
  </si>
  <si>
    <t>Receipt No.087&amp;088</t>
  </si>
  <si>
    <t>620</t>
  </si>
  <si>
    <t>Customer Rs:26200 &amp; Agent Rs:27000</t>
  </si>
  <si>
    <t>Jayaram</t>
  </si>
  <si>
    <t>Rama Rao</t>
  </si>
  <si>
    <t>Kasim</t>
  </si>
  <si>
    <t>Kattula Venkata Reddy</t>
  </si>
  <si>
    <t>transfer UPI ID:T2510182037231311109659</t>
  </si>
  <si>
    <t>Receipt No.009</t>
  </si>
  <si>
    <t>SBI Cheque:976097</t>
  </si>
  <si>
    <t>Receipt No.044</t>
  </si>
  <si>
    <t>Cash</t>
  </si>
  <si>
    <t>Receipt No.045</t>
  </si>
  <si>
    <t>Receipt No.046</t>
  </si>
  <si>
    <t>Receipt No.047</t>
  </si>
  <si>
    <t>490</t>
  </si>
  <si>
    <t>Ravi Chandra</t>
  </si>
  <si>
    <t>Sujatha</t>
  </si>
  <si>
    <t>Samatha Manoj Varma</t>
  </si>
  <si>
    <t>Receipt No.010</t>
  </si>
  <si>
    <t>Receipt No.038</t>
  </si>
  <si>
    <t>Hdfc Chq no:000003</t>
  </si>
  <si>
    <t>Receipt No.082</t>
  </si>
  <si>
    <t>Receipt No.084</t>
  </si>
  <si>
    <t>25.10.2025</t>
  </si>
  <si>
    <t>G.jagadeesh</t>
  </si>
  <si>
    <t>Elisha</t>
  </si>
  <si>
    <t>Anandh</t>
  </si>
  <si>
    <t>Syed Jubeda (Syed Dawood )</t>
  </si>
  <si>
    <t>cash recd</t>
  </si>
  <si>
    <t>Receipt No.012</t>
  </si>
  <si>
    <t>10.11.2025</t>
  </si>
  <si>
    <t xml:space="preserve">cash </t>
  </si>
  <si>
    <t>Receipt No.061,62,63,64</t>
  </si>
  <si>
    <t>Phone pe UPI No:113936805723</t>
  </si>
  <si>
    <t>Receipt No.064</t>
  </si>
  <si>
    <t>Canara cheque no:482508</t>
  </si>
  <si>
    <t>Receipt No.065</t>
  </si>
  <si>
    <t>Kolipakula.Venkata Mani Kumar</t>
  </si>
  <si>
    <t>UPI No:529811115806</t>
  </si>
  <si>
    <t>Receipt no.013</t>
  </si>
  <si>
    <t>INFT/EK54033489</t>
  </si>
  <si>
    <t>Receipt no.039</t>
  </si>
  <si>
    <t>INFT/EK54037189</t>
  </si>
  <si>
    <t>Ref Id:EKB4716819</t>
  </si>
  <si>
    <t>Receipt no.042</t>
  </si>
  <si>
    <t>Tr ID:ICICR12025112607703172</t>
  </si>
  <si>
    <t>Receipt no.112</t>
  </si>
  <si>
    <t>Tr ID:ICICR12025112707721957</t>
  </si>
  <si>
    <t>Receipt no.164</t>
  </si>
  <si>
    <t>26.10.2025</t>
  </si>
  <si>
    <t>507 &amp; 508</t>
  </si>
  <si>
    <t>1175.95 syd</t>
  </si>
  <si>
    <t>Jagadeesh</t>
  </si>
  <si>
    <t>Avadhani</t>
  </si>
  <si>
    <t>Srinivas</t>
  </si>
  <si>
    <t>Mora srinvas Reddy</t>
  </si>
  <si>
    <t>UPI No:421200229920</t>
  </si>
  <si>
    <t>Receipt No.014</t>
  </si>
  <si>
    <t>Receipt No.097,98,99</t>
  </si>
  <si>
    <t>Cheque No:000010</t>
  </si>
  <si>
    <t>Receipt No.099</t>
  </si>
  <si>
    <t>Receipt No.102</t>
  </si>
  <si>
    <t>Receipt No.103</t>
  </si>
  <si>
    <t>Receipt No.156</t>
  </si>
  <si>
    <t>Receipt No.157</t>
  </si>
  <si>
    <t>Receipt No.186</t>
  </si>
  <si>
    <t>Receipt No.187</t>
  </si>
  <si>
    <t>366.73 syd</t>
  </si>
  <si>
    <t>srinivas</t>
  </si>
  <si>
    <t>Gudela Venu Gopal Rao</t>
  </si>
  <si>
    <t>UPI No:337669393454</t>
  </si>
  <si>
    <t>Receipt NO.015</t>
  </si>
  <si>
    <t>SBIN525331023958</t>
  </si>
  <si>
    <t>Receipt NO.110</t>
  </si>
  <si>
    <t>SBIN525331033217</t>
  </si>
  <si>
    <t>Receipt NO.111</t>
  </si>
  <si>
    <t>Receipt NO.116</t>
  </si>
  <si>
    <t>SBINR52025112707243163</t>
  </si>
  <si>
    <t>Receipt NO.117</t>
  </si>
  <si>
    <t>SBINR52025112707271211</t>
  </si>
  <si>
    <t>Receipt NO.118</t>
  </si>
  <si>
    <t>Jr:196638466</t>
  </si>
  <si>
    <t>Receipt NO.119</t>
  </si>
  <si>
    <t>SBINR52025112707254808</t>
  </si>
  <si>
    <t>Receipt NO.120</t>
  </si>
  <si>
    <t>183.36 syd</t>
  </si>
  <si>
    <t>P.Srinivasa Akhil</t>
  </si>
  <si>
    <t>UTR NO:334869124805</t>
  </si>
  <si>
    <t>Receipt no.016</t>
  </si>
  <si>
    <t>UTR NO:923870114087</t>
  </si>
  <si>
    <t>08.11.2025</t>
  </si>
  <si>
    <t>Ref No:531217395689</t>
  </si>
  <si>
    <t>Receipt no.049</t>
  </si>
  <si>
    <t>Ref No:MB09184334540T39192970</t>
  </si>
  <si>
    <t>Ref No:MB10054419487T41477081</t>
  </si>
  <si>
    <t>HDFC Bank Cheque No:000001 (RTGS)</t>
  </si>
  <si>
    <t>261.19 syd</t>
  </si>
  <si>
    <t>Shabbir</t>
  </si>
  <si>
    <t>Rameez</t>
  </si>
  <si>
    <t>Chikurumalli Ramu</t>
  </si>
  <si>
    <t>Rs:90000/- Hdfc:364184680280</t>
  </si>
  <si>
    <t>Receipt No.019&amp;020</t>
  </si>
  <si>
    <t>Receipt no.018</t>
  </si>
  <si>
    <t>Receipt no.080,81,83</t>
  </si>
  <si>
    <t>305.66 syd</t>
  </si>
  <si>
    <t>Abdul Rameez</t>
  </si>
  <si>
    <t>UPI No:990769000838 &amp; 303290412115</t>
  </si>
  <si>
    <t>Receipt No.021</t>
  </si>
  <si>
    <t>Receipt No.077,78,79</t>
  </si>
  <si>
    <t>350.14 syd</t>
  </si>
  <si>
    <t>J.v.smaba siva Rao</t>
  </si>
  <si>
    <t>Karri Venkateswara Rao</t>
  </si>
  <si>
    <t>NEFT no:SBIN52025102790271142</t>
  </si>
  <si>
    <t>Receipt No.022</t>
  </si>
  <si>
    <t>30.10.2025</t>
  </si>
  <si>
    <t>133.00 syd</t>
  </si>
  <si>
    <t>J.V.Samba siva</t>
  </si>
  <si>
    <t>Vijay</t>
  </si>
  <si>
    <t>K.Renuka chari</t>
  </si>
  <si>
    <t>UPI/192191887658</t>
  </si>
  <si>
    <t>Receipt No.023</t>
  </si>
  <si>
    <t>BIL/INFT/EJY1312617</t>
  </si>
  <si>
    <t>Tr ID:EKE5463389</t>
  </si>
  <si>
    <t>Receipt No.071</t>
  </si>
  <si>
    <t>Tr ID:ICICR12025111207498196</t>
  </si>
  <si>
    <t>Tr ID:531619889952</t>
  </si>
  <si>
    <t>01.11.2025</t>
  </si>
  <si>
    <t>Madhu</t>
  </si>
  <si>
    <t>G.Brahmaiah</t>
  </si>
  <si>
    <t>Receipt NO.024</t>
  </si>
  <si>
    <t>02.11.2025</t>
  </si>
  <si>
    <t>Receipt NO.025</t>
  </si>
  <si>
    <t>Receipt NO.050</t>
  </si>
  <si>
    <t>Receipt NO.051</t>
  </si>
  <si>
    <t>Canara bank Cheque no:583056</t>
  </si>
  <si>
    <t>Receipt NO.052</t>
  </si>
  <si>
    <t>M.Sri Lakshmi</t>
  </si>
  <si>
    <t>M.Bala Krishna</t>
  </si>
  <si>
    <t>M.Parnika</t>
  </si>
  <si>
    <t>M.Navya</t>
  </si>
  <si>
    <t>K.Jayanth</t>
  </si>
  <si>
    <t>D Ravindra</t>
  </si>
  <si>
    <t>Kalyan Chakravarthi</t>
  </si>
  <si>
    <t>Mohammad Karimulla</t>
  </si>
  <si>
    <t>K Bharathi</t>
  </si>
  <si>
    <t>avadahni</t>
  </si>
  <si>
    <t>babu</t>
  </si>
  <si>
    <t>V.Ratna Prasanna kumar</t>
  </si>
  <si>
    <t>trannsfered</t>
  </si>
  <si>
    <t>Repecipt No.029</t>
  </si>
  <si>
    <t>K.Praveen</t>
  </si>
  <si>
    <t>Recepit No.030</t>
  </si>
  <si>
    <t>K.Ravi Kiran</t>
  </si>
  <si>
    <t>Receipit No.031</t>
  </si>
  <si>
    <t>03.11.2025</t>
  </si>
  <si>
    <t>Ravi chandra</t>
  </si>
  <si>
    <t>sujatha</t>
  </si>
  <si>
    <t>mastan</t>
  </si>
  <si>
    <t>shaik Reshma</t>
  </si>
  <si>
    <t>Receipt No.032</t>
  </si>
  <si>
    <t>Receipt No.105</t>
  </si>
  <si>
    <t>UTR No:038305299020</t>
  </si>
  <si>
    <t>Receipt No.106</t>
  </si>
  <si>
    <t>Ref No:HDFCR52025112587525907</t>
  </si>
  <si>
    <t>Receipt No.108</t>
  </si>
  <si>
    <t>Ref No:HDFCR00630526766</t>
  </si>
  <si>
    <t>Receipt No.107</t>
  </si>
  <si>
    <t>183.36 sytd</t>
  </si>
  <si>
    <t>UTR No:531495885796</t>
  </si>
  <si>
    <t>Ref No:HDFCR006259435053</t>
  </si>
  <si>
    <t>Receipt No.100</t>
  </si>
  <si>
    <t>Ref No:HDFCR52025112487133722</t>
  </si>
  <si>
    <t>Receipt No.101</t>
  </si>
  <si>
    <t>Receipt No.109</t>
  </si>
  <si>
    <t>Receipt No.114</t>
  </si>
  <si>
    <t>UTR No:723415178777</t>
  </si>
  <si>
    <t>Receipt No.115</t>
  </si>
  <si>
    <t>AkkiRaju Lakshmi Naga Narasimha Rao</t>
  </si>
  <si>
    <t>trnasfer</t>
  </si>
  <si>
    <t>Receipt No.033</t>
  </si>
  <si>
    <t>P.SARADA</t>
  </si>
  <si>
    <t>HDFC, Cheque no: 000004 , Rs:10,00,000/- Dt:06-11-2025</t>
  </si>
  <si>
    <t>Receipt No.122</t>
  </si>
  <si>
    <t>Receipt No.123</t>
  </si>
  <si>
    <t>Receipt No.124</t>
  </si>
  <si>
    <t>P.UDAY RAJ</t>
  </si>
  <si>
    <t>HDFC, Cheque no: 000031 , Rs:10,00,000/- Dt:06-11-2025</t>
  </si>
  <si>
    <t>Receipt No.125</t>
  </si>
  <si>
    <t>Receipt No.126</t>
  </si>
  <si>
    <t>Receipt No.127</t>
  </si>
  <si>
    <t>Receipt No.128</t>
  </si>
  <si>
    <t>P.CHANDRASEKHAR</t>
  </si>
  <si>
    <t>UPI No:257768449572</t>
  </si>
  <si>
    <t>Receipt No.129</t>
  </si>
  <si>
    <t>Receipt No.130</t>
  </si>
  <si>
    <t>Receipt No.131</t>
  </si>
  <si>
    <t>ICICI, Cheque no: 574451 , Rs:10,00,000/- Dt:06-11-2025 &amp;UTR No:HDFCR5202511128251208</t>
  </si>
  <si>
    <t>Receipt No.132</t>
  </si>
  <si>
    <t>VTIBR52025120300358963</t>
  </si>
  <si>
    <t>Receipt No.168</t>
  </si>
  <si>
    <t>UTIBR52025120300359147</t>
  </si>
  <si>
    <t>Receipt No.169</t>
  </si>
  <si>
    <t>UTR No:453640825030</t>
  </si>
  <si>
    <t>Receipt No.133</t>
  </si>
  <si>
    <t>13.11.2025</t>
  </si>
  <si>
    <t>UTR No:069938194251</t>
  </si>
  <si>
    <t>Receipt No.134</t>
  </si>
  <si>
    <t>UTR No:353134918425</t>
  </si>
  <si>
    <t>Receipt No.135</t>
  </si>
  <si>
    <t>16.11.2025</t>
  </si>
  <si>
    <t>UTR No:400115489930</t>
  </si>
  <si>
    <t>Receipt No.136</t>
  </si>
  <si>
    <t>17.11.2025</t>
  </si>
  <si>
    <t>UTR No:234288453568</t>
  </si>
  <si>
    <t>Receipt No.137</t>
  </si>
  <si>
    <t>19.11.2025</t>
  </si>
  <si>
    <t>UTR NO:409313705747</t>
  </si>
  <si>
    <t>Receipt No.138</t>
  </si>
  <si>
    <t>14.11.2025</t>
  </si>
  <si>
    <t>Mohammad Ruksana (Imran)</t>
  </si>
  <si>
    <t>UTR NO:607890131799</t>
  </si>
  <si>
    <t>Receipt No.177</t>
  </si>
  <si>
    <t>UTR No:SBINR52025120408131993</t>
  </si>
  <si>
    <t>Receipt No.178</t>
  </si>
  <si>
    <t>194.48 syd</t>
  </si>
  <si>
    <t>Shaik Fareed</t>
  </si>
  <si>
    <t>Receipt No:059</t>
  </si>
  <si>
    <t>Ref No:533118925250</t>
  </si>
  <si>
    <t>Receipt No:139</t>
  </si>
  <si>
    <t>UTR No:009450463507</t>
  </si>
  <si>
    <t>Receipt No:140</t>
  </si>
  <si>
    <t>Ref No:533222916873</t>
  </si>
  <si>
    <t>Receipt No:141</t>
  </si>
  <si>
    <t>UTR No:056711543284</t>
  </si>
  <si>
    <t>Receipt No:182</t>
  </si>
  <si>
    <t>Ref no:533917929285</t>
  </si>
  <si>
    <t>Receipt No:185</t>
  </si>
  <si>
    <t>Kokku Narendra Datt</t>
  </si>
  <si>
    <t>Receipt No:048</t>
  </si>
  <si>
    <t>Tr ID:533612845453</t>
  </si>
  <si>
    <t>Receipt No:165</t>
  </si>
  <si>
    <t>Receipt No:176</t>
  </si>
  <si>
    <t>SHAIK ILIZA ,JONNADA RAMANA</t>
  </si>
  <si>
    <t>Receipt No:066</t>
  </si>
  <si>
    <t>trs UTR No:720262793836</t>
  </si>
  <si>
    <t>Receipt No:070</t>
  </si>
  <si>
    <t>UTR :SBIN325337201064</t>
  </si>
  <si>
    <t>Receipt No:167</t>
  </si>
  <si>
    <t>UTR NO:099865486096</t>
  </si>
  <si>
    <t>Receipt No:183</t>
  </si>
  <si>
    <t>149.79 Syd</t>
  </si>
  <si>
    <t>VELAGAPALLI RATNA KUMARI</t>
  </si>
  <si>
    <t>UPI NO:568063274297</t>
  </si>
  <si>
    <t>Receipt No:067</t>
  </si>
  <si>
    <t>SBIN325337177823</t>
  </si>
  <si>
    <t>Receipt No:166</t>
  </si>
  <si>
    <t>Receipt No:170</t>
  </si>
  <si>
    <t>350.14 Syd</t>
  </si>
  <si>
    <t>Transfer No:T2511101726570290982009</t>
  </si>
  <si>
    <t>Receipt No:068</t>
  </si>
  <si>
    <t>BKIDN25315439518</t>
  </si>
  <si>
    <t>Receipt No:069</t>
  </si>
  <si>
    <t>BKIDA253177809752 (Chq no:085866)</t>
  </si>
  <si>
    <t>Receipt No:076</t>
  </si>
  <si>
    <t>Receipt No:091</t>
  </si>
  <si>
    <t>Receipt No:092</t>
  </si>
  <si>
    <t>Receipt No:093</t>
  </si>
  <si>
    <t>Vamsi Krishna Venkata Maruthi Prakhya (USA)</t>
  </si>
  <si>
    <t>Ref no:ICICR12025111007458194</t>
  </si>
  <si>
    <t>Receipt No:142</t>
  </si>
  <si>
    <t>Ref no:ICICR12025111007458453</t>
  </si>
  <si>
    <t>Receipt No:143</t>
  </si>
  <si>
    <t>Ref no:ICICR12025111007457791</t>
  </si>
  <si>
    <t>Receipt No:144</t>
  </si>
  <si>
    <t>Ref no:ICICR12025111007461005</t>
  </si>
  <si>
    <t>Receipt No:145</t>
  </si>
  <si>
    <t>Receipt No:146</t>
  </si>
  <si>
    <t>Receipt No:158</t>
  </si>
  <si>
    <t>Receipt No:159</t>
  </si>
  <si>
    <t>Ref no:ICICR12025111107471882</t>
  </si>
  <si>
    <t>Receipt No:147</t>
  </si>
  <si>
    <t>Ref No:EKF5660455</t>
  </si>
  <si>
    <t>Receipt No:160</t>
  </si>
  <si>
    <t>Ref no:ICICR12025111107472986</t>
  </si>
  <si>
    <t>Receipt No:161</t>
  </si>
  <si>
    <t>Receipt No:162</t>
  </si>
  <si>
    <t>Receipt No:163</t>
  </si>
  <si>
    <t>194.36 syd</t>
  </si>
  <si>
    <t>Receipt No:172</t>
  </si>
  <si>
    <t xml:space="preserve">203 Syd </t>
  </si>
  <si>
    <t>Receipt No:171</t>
  </si>
  <si>
    <t>Tr ID:ICICR12025111707563582</t>
  </si>
  <si>
    <t>Receipt No:173</t>
  </si>
  <si>
    <t>Tr ID:ICICR12025111707563711</t>
  </si>
  <si>
    <t>Receipt No:174</t>
  </si>
  <si>
    <t>Receipt No:175</t>
  </si>
  <si>
    <t>Ref No:EKT8770678</t>
  </si>
  <si>
    <t>Receipt No:180</t>
  </si>
  <si>
    <t>Receipt No:179</t>
  </si>
  <si>
    <t>574.37 syd</t>
  </si>
  <si>
    <t>Dinesh Sourya</t>
  </si>
  <si>
    <t>Receipt No:089</t>
  </si>
  <si>
    <t>Receipt No:148</t>
  </si>
  <si>
    <t>Receipt No:149</t>
  </si>
  <si>
    <t>Receipt No:150</t>
  </si>
  <si>
    <t>Receipt No:151</t>
  </si>
  <si>
    <t>Receipt No:152</t>
  </si>
  <si>
    <t>Receipt No:153</t>
  </si>
  <si>
    <t>Receipt No:154</t>
  </si>
  <si>
    <t>Receipt No:155</t>
  </si>
  <si>
    <t>Dinesh Sourya (Kathi Harini)</t>
  </si>
  <si>
    <t>SBINR52025120207883031</t>
  </si>
  <si>
    <t xml:space="preserve">Naredla Venkata Rami Reddy </t>
  </si>
  <si>
    <t>Tr Id:17630027358986</t>
  </si>
  <si>
    <t>Receipt No:090</t>
  </si>
  <si>
    <t>Tr Id:2511130848427687845494</t>
  </si>
  <si>
    <t>Gudi Sathish Kumar</t>
  </si>
  <si>
    <t>UTR NO:SBINR52025111505915028</t>
  </si>
  <si>
    <t>Receipt No:181</t>
  </si>
  <si>
    <t>Shaik Amanulla</t>
  </si>
  <si>
    <t>Receipt No:113</t>
  </si>
  <si>
    <t>28.11.2025</t>
  </si>
  <si>
    <t>Receipt No:121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</si>
</sst>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* #,##0_ ;_ * \-#,##0_ ;_ * &quot;-&quot;??_ ;_ @_ "/>
    <numFmt numFmtId="165" formatCode="_ * #,##0.00_ ;_ * \-#,##0.00_ ;_ * &quot;-&quot;??_ ;_ @_ "/>
    <numFmt numFmtId="166" formatCode="_ * #,##0.0_ ;_ * \-#,##0.0_ ;_ * &quot;-&quot;??_ ;_ @_ "/>
  </numFmts>
  <fonts count="11">
    <font>
      <sz val="10.0"/>
      <color rgb="FF000000"/>
      <name val="Arial"/>
      <scheme val="minor"/>
    </font>
    <font>
      <b/>
      <sz val="9.0"/>
      <color theme="1"/>
      <name val="Calibri"/>
    </font>
    <font/>
    <font>
      <b/>
      <sz val="8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9.0"/>
      <color rgb="FF00B050"/>
      <name val="Calibri"/>
    </font>
    <font>
      <color theme="1"/>
      <name val="Calibri"/>
    </font>
    <font>
      <sz val="9.0"/>
      <color theme="1"/>
      <name val="Calibri"/>
    </font>
    <font>
      <b/>
      <color rgb="FF00B050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</fills>
  <borders count="23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3" fontId="1" numFmtId="0" xfId="0" applyAlignment="1" applyBorder="1" applyFont="1">
      <alignment horizontal="center" shrinkToFit="0" wrapText="1"/>
    </xf>
    <xf borderId="5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 shrinkToFit="0" wrapText="1"/>
    </xf>
    <xf borderId="7" fillId="3" fontId="3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vertical="bottom"/>
    </xf>
    <xf borderId="9" fillId="0" fontId="1" numFmtId="14" xfId="0" applyAlignment="1" applyBorder="1" applyFont="1" applyNumberFormat="1">
      <alignment horizontal="center" vertical="bottom"/>
    </xf>
    <xf quotePrefix="1" borderId="10" fillId="4" fontId="1" numFmtId="0" xfId="0" applyAlignment="1" applyBorder="1" applyFill="1" applyFont="1">
      <alignment horizontal="center" vertical="bottom"/>
    </xf>
    <xf borderId="9" fillId="0" fontId="1" numFmtId="0" xfId="0" applyAlignment="1" applyBorder="1" applyFont="1">
      <alignment horizontal="center" shrinkToFit="0" vertical="bottom" wrapText="1"/>
    </xf>
    <xf borderId="9" fillId="0" fontId="1" numFmtId="2" xfId="0" applyAlignment="1" applyBorder="1" applyFont="1" applyNumberFormat="1">
      <alignment horizontal="center" vertical="bottom"/>
    </xf>
    <xf borderId="9" fillId="0" fontId="4" numFmtId="0" xfId="0" applyAlignment="1" applyBorder="1" applyFont="1">
      <alignment vertical="bottom"/>
    </xf>
    <xf borderId="9" fillId="0" fontId="5" numFmtId="164" xfId="0" applyAlignment="1" applyBorder="1" applyFont="1" applyNumberFormat="1">
      <alignment horizontal="center"/>
    </xf>
    <xf borderId="9" fillId="0" fontId="1" numFmtId="2" xfId="0" applyAlignment="1" applyBorder="1" applyFont="1" applyNumberFormat="1">
      <alignment horizontal="center" shrinkToFit="0" vertical="bottom" wrapText="1"/>
    </xf>
    <xf borderId="9" fillId="0" fontId="1" numFmtId="0" xfId="0" applyAlignment="1" applyBorder="1" applyFont="1">
      <alignment horizontal="center" vertical="bottom"/>
    </xf>
    <xf borderId="11" fillId="0" fontId="6" numFmtId="0" xfId="0" applyAlignment="1" applyBorder="1" applyFont="1">
      <alignment shrinkToFit="0" vertical="bottom" wrapText="1"/>
    </xf>
    <xf borderId="12" fillId="0" fontId="4" numFmtId="14" xfId="0" applyAlignment="1" applyBorder="1" applyFont="1" applyNumberFormat="1">
      <alignment horizontal="right" vertical="bottom"/>
    </xf>
    <xf borderId="13" fillId="0" fontId="4" numFmtId="0" xfId="0" applyAlignment="1" applyBorder="1" applyFont="1">
      <alignment vertical="bottom"/>
    </xf>
    <xf borderId="14" fillId="0" fontId="1" numFmtId="14" xfId="0" applyAlignment="1" applyBorder="1" applyFont="1" applyNumberFormat="1">
      <alignment horizontal="center" vertical="bottom"/>
    </xf>
    <xf borderId="15" fillId="0" fontId="7" numFmtId="164" xfId="0" applyAlignment="1" applyBorder="1" applyFont="1" applyNumberFormat="1">
      <alignment horizontal="right"/>
    </xf>
    <xf borderId="14" fillId="0" fontId="4" numFmtId="0" xfId="0" applyAlignment="1" applyBorder="1" applyFont="1">
      <alignment vertical="bottom"/>
    </xf>
    <xf borderId="14" fillId="0" fontId="5" numFmtId="164" xfId="0" applyAlignment="1" applyBorder="1" applyFont="1" applyNumberFormat="1">
      <alignment horizontal="center"/>
    </xf>
    <xf borderId="14" fillId="0" fontId="1" numFmtId="0" xfId="0" applyAlignment="1" applyBorder="1" applyFont="1">
      <alignment horizontal="center" vertical="bottom"/>
    </xf>
    <xf borderId="16" fillId="0" fontId="6" numFmtId="0" xfId="0" applyAlignment="1" applyBorder="1" applyFont="1">
      <alignment shrinkToFit="0" vertical="bottom" wrapText="1"/>
    </xf>
    <xf borderId="17" fillId="0" fontId="4" numFmtId="0" xfId="0" applyAlignment="1" applyBorder="1" applyFont="1">
      <alignment vertical="bottom"/>
    </xf>
    <xf borderId="13" fillId="0" fontId="1" numFmtId="0" xfId="0" applyAlignment="1" applyBorder="1" applyFont="1">
      <alignment horizontal="center" vertical="bottom"/>
    </xf>
    <xf quotePrefix="1" borderId="14" fillId="4" fontId="1" numFmtId="0" xfId="0" applyAlignment="1" applyBorder="1" applyFont="1">
      <alignment horizontal="center" vertical="bottom"/>
    </xf>
    <xf borderId="14" fillId="0" fontId="1" numFmtId="0" xfId="0" applyAlignment="1" applyBorder="1" applyFont="1">
      <alignment horizontal="center" shrinkToFit="0" vertical="bottom" wrapText="1"/>
    </xf>
    <xf borderId="14" fillId="0" fontId="1" numFmtId="2" xfId="0" applyAlignment="1" applyBorder="1" applyFont="1" applyNumberFormat="1">
      <alignment horizontal="center" vertical="bottom"/>
    </xf>
    <xf borderId="14" fillId="0" fontId="1" numFmtId="0" xfId="0" applyAlignment="1" applyBorder="1" applyFont="1">
      <alignment horizontal="center" shrinkToFit="0" wrapText="1"/>
    </xf>
    <xf borderId="14" fillId="0" fontId="1" numFmtId="2" xfId="0" applyAlignment="1" applyBorder="1" applyFont="1" applyNumberFormat="1">
      <alignment horizontal="center" shrinkToFit="0" vertical="bottom" wrapText="1"/>
    </xf>
    <xf borderId="14" fillId="0" fontId="3" numFmtId="0" xfId="0" applyAlignment="1" applyBorder="1" applyFont="1">
      <alignment horizontal="center" shrinkToFit="0" vertical="bottom" wrapText="1"/>
    </xf>
    <xf borderId="17" fillId="0" fontId="4" numFmtId="14" xfId="0" applyAlignment="1" applyBorder="1" applyFont="1" applyNumberFormat="1">
      <alignment horizontal="right" vertical="bottom"/>
    </xf>
    <xf borderId="14" fillId="0" fontId="1" numFmtId="14" xfId="0" applyAlignment="1" applyBorder="1" applyFont="1" applyNumberFormat="1">
      <alignment horizontal="center"/>
    </xf>
    <xf borderId="14" fillId="0" fontId="4" numFmtId="0" xfId="0" applyBorder="1" applyFont="1"/>
    <xf borderId="14" fillId="5" fontId="1" numFmtId="0" xfId="0" applyAlignment="1" applyBorder="1" applyFill="1" applyFont="1">
      <alignment shrinkToFit="0" vertical="bottom" wrapText="1"/>
    </xf>
    <xf borderId="17" fillId="0" fontId="4" numFmtId="14" xfId="0" applyAlignment="1" applyBorder="1" applyFont="1" applyNumberFormat="1">
      <alignment vertical="bottom"/>
    </xf>
    <xf quotePrefix="1" borderId="14" fillId="0" fontId="1" numFmtId="0" xfId="0" applyAlignment="1" applyBorder="1" applyFont="1">
      <alignment horizontal="center" vertical="bottom"/>
    </xf>
    <xf borderId="14" fillId="4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shrinkToFit="0" vertical="bottom" wrapText="1"/>
    </xf>
    <xf borderId="14" fillId="0" fontId="1" numFmtId="0" xfId="0" applyAlignment="1" applyBorder="1" applyFont="1">
      <alignment vertical="bottom"/>
    </xf>
    <xf borderId="16" fillId="0" fontId="1" numFmtId="0" xfId="0" applyAlignment="1" applyBorder="1" applyFont="1">
      <alignment shrinkToFit="0" vertical="bottom" wrapText="1"/>
    </xf>
    <xf borderId="15" fillId="0" fontId="4" numFmtId="164" xfId="0" applyBorder="1" applyFont="1" applyNumberFormat="1"/>
    <xf borderId="14" fillId="0" fontId="3" numFmtId="0" xfId="0" applyAlignment="1" applyBorder="1" applyFont="1">
      <alignment horizontal="center" shrinkToFit="0" wrapText="1"/>
    </xf>
    <xf borderId="14" fillId="0" fontId="1" numFmtId="165" xfId="0" applyAlignment="1" applyBorder="1" applyFont="1" applyNumberFormat="1">
      <alignment horizontal="center" shrinkToFit="0" vertical="bottom" wrapText="1"/>
    </xf>
    <xf borderId="14" fillId="0" fontId="1" numFmtId="0" xfId="0" applyAlignment="1" applyBorder="1" applyFont="1">
      <alignment shrinkToFit="0" vertical="bottom" wrapText="1"/>
    </xf>
    <xf borderId="14" fillId="0" fontId="4" numFmtId="14" xfId="0" applyAlignment="1" applyBorder="1" applyFont="1" applyNumberFormat="1">
      <alignment horizontal="right" vertical="bottom"/>
    </xf>
    <xf borderId="14" fillId="0" fontId="4" numFmtId="164" xfId="0" applyAlignment="1" applyBorder="1" applyFont="1" applyNumberFormat="1">
      <alignment horizontal="right" vertical="bottom"/>
    </xf>
    <xf borderId="13" fillId="0" fontId="8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4" fillId="4" fontId="1" numFmtId="0" xfId="0" applyAlignment="1" applyBorder="1" applyFont="1">
      <alignment horizontal="center"/>
    </xf>
    <xf borderId="14" fillId="0" fontId="1" numFmtId="2" xfId="0" applyAlignment="1" applyBorder="1" applyFont="1" applyNumberFormat="1">
      <alignment horizontal="center"/>
    </xf>
    <xf borderId="16" fillId="0" fontId="6" numFmtId="0" xfId="0" applyAlignment="1" applyBorder="1" applyFont="1">
      <alignment shrinkToFit="0" wrapText="1"/>
    </xf>
    <xf borderId="13" fillId="0" fontId="4" numFmtId="0" xfId="0" applyBorder="1" applyFont="1"/>
    <xf borderId="13" fillId="0" fontId="8" numFmtId="0" xfId="0" applyAlignment="1" applyBorder="1" applyFont="1">
      <alignment horizontal="right" vertical="bottom"/>
    </xf>
    <xf borderId="14" fillId="0" fontId="4" numFmtId="164" xfId="0" applyBorder="1" applyFont="1" applyNumberFormat="1"/>
    <xf borderId="16" fillId="0" fontId="4" numFmtId="0" xfId="0" applyAlignment="1" applyBorder="1" applyFont="1">
      <alignment vertical="bottom"/>
    </xf>
    <xf borderId="13" fillId="0" fontId="1" numFmtId="0" xfId="0" applyAlignment="1" applyBorder="1" applyFont="1">
      <alignment horizontal="center"/>
    </xf>
    <xf borderId="16" fillId="0" fontId="1" numFmtId="0" xfId="0" applyAlignment="1" applyBorder="1" applyFont="1">
      <alignment shrinkToFit="0" wrapText="1"/>
    </xf>
    <xf borderId="14" fillId="0" fontId="7" numFmtId="0" xfId="0" applyBorder="1" applyFont="1"/>
    <xf borderId="14" fillId="0" fontId="4" numFmtId="0" xfId="0" applyAlignment="1" applyBorder="1" applyFont="1">
      <alignment horizontal="right"/>
    </xf>
    <xf borderId="14" fillId="0" fontId="4" numFmtId="14" xfId="0" applyBorder="1" applyFont="1" applyNumberFormat="1"/>
    <xf borderId="14" fillId="0" fontId="7" numFmtId="0" xfId="0" applyAlignment="1" applyBorder="1" applyFont="1">
      <alignment vertical="bottom"/>
    </xf>
    <xf borderId="14" fillId="0" fontId="4" numFmtId="0" xfId="0" applyAlignment="1" applyBorder="1" applyFont="1">
      <alignment horizontal="right" vertical="bottom"/>
    </xf>
    <xf borderId="14" fillId="0" fontId="7" numFmtId="0" xfId="0" applyAlignment="1" applyBorder="1" applyFont="1">
      <alignment horizontal="center"/>
    </xf>
    <xf borderId="18" fillId="0" fontId="4" numFmtId="0" xfId="0" applyBorder="1" applyFont="1"/>
    <xf borderId="15" fillId="0" fontId="4" numFmtId="0" xfId="0" applyAlignment="1" applyBorder="1" applyFont="1">
      <alignment vertical="bottom"/>
    </xf>
    <xf borderId="15" fillId="0" fontId="5" numFmtId="164" xfId="0" applyAlignment="1" applyBorder="1" applyFont="1" applyNumberFormat="1">
      <alignment horizontal="center"/>
    </xf>
    <xf borderId="15" fillId="0" fontId="3" numFmtId="0" xfId="0" applyAlignment="1" applyBorder="1" applyFont="1">
      <alignment horizontal="center" shrinkToFit="0" wrapText="1"/>
    </xf>
    <xf borderId="19" fillId="0" fontId="4" numFmtId="14" xfId="0" applyAlignment="1" applyBorder="1" applyFont="1" applyNumberFormat="1">
      <alignment vertical="bottom"/>
    </xf>
    <xf borderId="15" fillId="0" fontId="1" numFmtId="0" xfId="0" applyAlignment="1" applyBorder="1" applyFont="1">
      <alignment horizontal="center"/>
    </xf>
    <xf borderId="15" fillId="0" fontId="1" numFmtId="14" xfId="0" applyAlignment="1" applyBorder="1" applyFont="1" applyNumberFormat="1">
      <alignment horizontal="center"/>
    </xf>
    <xf borderId="15" fillId="0" fontId="4" numFmtId="0" xfId="0" applyBorder="1" applyFont="1"/>
    <xf borderId="18" fillId="0" fontId="1" numFmtId="0" xfId="0" applyAlignment="1" applyBorder="1" applyFont="1">
      <alignment horizontal="center"/>
    </xf>
    <xf borderId="15" fillId="0" fontId="7" numFmtId="0" xfId="0" applyAlignment="1" applyBorder="1" applyFont="1">
      <alignment vertical="bottom"/>
    </xf>
    <xf borderId="15" fillId="0" fontId="4" numFmtId="0" xfId="0" applyAlignment="1" applyBorder="1" applyFont="1">
      <alignment horizontal="right" vertical="bottom"/>
    </xf>
    <xf borderId="15" fillId="0" fontId="1" numFmtId="0" xfId="0" applyAlignment="1" applyBorder="1" applyFont="1">
      <alignment horizontal="center" shrinkToFit="0" wrapText="1"/>
    </xf>
    <xf borderId="19" fillId="0" fontId="4" numFmtId="14" xfId="0" applyAlignment="1" applyBorder="1" applyFont="1" applyNumberFormat="1">
      <alignment horizontal="right" vertical="bottom"/>
    </xf>
    <xf borderId="15" fillId="0" fontId="7" numFmtId="0" xfId="0" applyBorder="1" applyFont="1"/>
    <xf borderId="15" fillId="0" fontId="4" numFmtId="0" xfId="0" applyAlignment="1" applyBorder="1" applyFont="1">
      <alignment horizontal="right"/>
    </xf>
    <xf borderId="20" fillId="0" fontId="4" numFmtId="0" xfId="0" applyAlignment="1" applyBorder="1" applyFont="1">
      <alignment horizontal="right" vertical="bottom"/>
    </xf>
    <xf borderId="20" fillId="0" fontId="9" numFmtId="0" xfId="0" applyAlignment="1" applyBorder="1" applyFont="1">
      <alignment vertical="bottom"/>
    </xf>
    <xf borderId="20" fillId="0" fontId="4" numFmtId="0" xfId="0" applyAlignment="1" applyBorder="1" applyFont="1">
      <alignment vertical="bottom"/>
    </xf>
    <xf borderId="21" fillId="4" fontId="1" numFmtId="0" xfId="0" applyAlignment="1" applyBorder="1" applyFont="1">
      <alignment horizontal="center"/>
    </xf>
    <xf borderId="15" fillId="0" fontId="7" numFmtId="0" xfId="0" applyAlignment="1" applyBorder="1" applyFont="1">
      <alignment horizontal="right"/>
    </xf>
    <xf borderId="20" fillId="0" fontId="5" numFmtId="0" xfId="0" applyAlignment="1" applyBorder="1" applyFont="1">
      <alignment vertical="bottom"/>
    </xf>
    <xf borderId="15" fillId="0" fontId="4" numFmtId="164" xfId="0" applyAlignment="1" applyBorder="1" applyFont="1" applyNumberFormat="1">
      <alignment horizontal="right" vertical="bottom"/>
    </xf>
    <xf borderId="15" fillId="0" fontId="4" numFmtId="164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 shrinkToFit="0" wrapText="1"/>
    </xf>
    <xf borderId="15" fillId="0" fontId="7" numFmtId="164" xfId="0" applyBorder="1" applyFont="1" applyNumberFormat="1"/>
    <xf borderId="15" fillId="0" fontId="4" numFmtId="166" xfId="0" applyAlignment="1" applyBorder="1" applyFont="1" applyNumberFormat="1">
      <alignment horizontal="right" vertical="bottom"/>
    </xf>
    <xf borderId="14" fillId="0" fontId="10" numFmtId="164" xfId="0" applyAlignment="1" applyBorder="1" applyFont="1" applyNumberFormat="1">
      <alignment horizontal="right"/>
    </xf>
    <xf borderId="15" fillId="0" fontId="4" numFmtId="166" xfId="0" applyAlignment="1" applyBorder="1" applyFont="1" applyNumberFormat="1">
      <alignment horizontal="right"/>
    </xf>
    <xf borderId="18" fillId="0" fontId="1" numFmtId="0" xfId="0" applyAlignment="1" applyBorder="1" applyFont="1">
      <alignment horizontal="center" vertical="bottom"/>
    </xf>
    <xf borderId="15" fillId="0" fontId="1" numFmtId="14" xfId="0" applyAlignment="1" applyBorder="1" applyFont="1" applyNumberFormat="1">
      <alignment horizontal="center" vertical="bottom"/>
    </xf>
    <xf borderId="15" fillId="0" fontId="1" numFmtId="0" xfId="0" applyAlignment="1" applyBorder="1" applyFont="1">
      <alignment horizontal="center" shrinkToFit="0" vertical="bottom" wrapText="1"/>
    </xf>
    <xf borderId="15" fillId="0" fontId="10" numFmtId="0" xfId="0" applyAlignment="1" applyBorder="1" applyFont="1">
      <alignment horizontal="center" vertical="bottom"/>
    </xf>
    <xf borderId="15" fillId="0" fontId="4" numFmtId="164" xfId="0" applyAlignment="1" applyBorder="1" applyFont="1" applyNumberFormat="1">
      <alignment vertical="bottom"/>
    </xf>
    <xf borderId="20" fillId="0" fontId="9" numFmtId="0" xfId="0" applyAlignment="1" applyBorder="1" applyFont="1">
      <alignment horizontal="center" vertical="bottom"/>
    </xf>
    <xf borderId="15" fillId="0" fontId="10" numFmtId="164" xfId="0" applyAlignment="1" applyBorder="1" applyFont="1" applyNumberFormat="1">
      <alignment horizontal="center"/>
    </xf>
    <xf borderId="15" fillId="0" fontId="5" numFmtId="0" xfId="0" applyAlignment="1" applyBorder="1" applyFont="1">
      <alignment horizontal="center" shrinkToFit="0" wrapText="1"/>
    </xf>
    <xf borderId="15" fillId="0" fontId="1" numFmtId="164" xfId="0" applyAlignment="1" applyBorder="1" applyFont="1" applyNumberFormat="1">
      <alignment horizontal="center" shrinkToFit="0" wrapText="1"/>
    </xf>
    <xf borderId="15" fillId="0" fontId="7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20" fillId="0" fontId="9" numFmtId="0" xfId="0" applyBorder="1" applyFont="1"/>
    <xf borderId="14" fillId="0" fontId="5" numFmtId="0" xfId="0" applyAlignment="1" applyBorder="1" applyFont="1">
      <alignment horizontal="center" shrinkToFit="0" wrapText="1"/>
    </xf>
    <xf borderId="14" fillId="0" fontId="9" numFmtId="0" xfId="0" applyBorder="1" applyFont="1"/>
    <xf borderId="14" fillId="0" fontId="4" numFmtId="1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5" t="s">
        <v>11</v>
      </c>
      <c r="L2" s="5" t="s">
        <v>12</v>
      </c>
      <c r="M2" s="6" t="s">
        <v>13</v>
      </c>
      <c r="N2" s="5" t="s">
        <v>14</v>
      </c>
      <c r="O2" s="7" t="s">
        <v>15</v>
      </c>
      <c r="P2" s="8" t="s">
        <v>16</v>
      </c>
    </row>
    <row r="3">
      <c r="A3" s="9">
        <v>1.0</v>
      </c>
      <c r="B3" s="10">
        <v>45938.0</v>
      </c>
      <c r="C3" s="11" t="s">
        <v>17</v>
      </c>
      <c r="D3" s="12">
        <v>147.38</v>
      </c>
      <c r="E3" s="13">
        <v>26000.0</v>
      </c>
      <c r="F3" s="12" t="s">
        <v>18</v>
      </c>
      <c r="G3" s="14"/>
      <c r="H3" s="14"/>
      <c r="I3" s="14"/>
      <c r="J3" s="14"/>
      <c r="K3" s="15">
        <v>200000.0</v>
      </c>
      <c r="L3" s="16" t="s">
        <v>19</v>
      </c>
      <c r="M3" s="17" t="s">
        <v>13</v>
      </c>
      <c r="N3" s="14"/>
      <c r="O3" s="18" t="s">
        <v>20</v>
      </c>
      <c r="P3" s="19">
        <v>45953.0</v>
      </c>
    </row>
    <row r="4">
      <c r="A4" s="20"/>
      <c r="B4" s="21" t="s">
        <v>21</v>
      </c>
      <c r="C4" s="22">
        <v>0.0</v>
      </c>
      <c r="D4" s="22">
        <v>0.0</v>
      </c>
      <c r="E4" s="22">
        <v>0.0</v>
      </c>
      <c r="F4" s="23"/>
      <c r="G4" s="23"/>
      <c r="H4" s="23"/>
      <c r="I4" s="23"/>
      <c r="J4" s="23"/>
      <c r="K4" s="24">
        <v>832000.0</v>
      </c>
      <c r="L4" s="16" t="s">
        <v>19</v>
      </c>
      <c r="M4" s="25" t="s">
        <v>13</v>
      </c>
      <c r="N4" s="23"/>
      <c r="O4" s="26" t="s">
        <v>22</v>
      </c>
      <c r="P4" s="27"/>
    </row>
    <row r="5">
      <c r="A5" s="20"/>
      <c r="B5" s="21" t="s">
        <v>21</v>
      </c>
      <c r="C5" s="22">
        <v>0.0</v>
      </c>
      <c r="D5" s="22">
        <v>0.0</v>
      </c>
      <c r="E5" s="22">
        <v>0.0</v>
      </c>
      <c r="F5" s="23"/>
      <c r="G5" s="23"/>
      <c r="H5" s="23"/>
      <c r="I5" s="23"/>
      <c r="J5" s="23"/>
      <c r="K5" s="24">
        <f>100000+45633</f>
        <v>145633</v>
      </c>
      <c r="L5" s="16" t="s">
        <v>19</v>
      </c>
      <c r="M5" s="25" t="s">
        <v>23</v>
      </c>
      <c r="N5" s="23"/>
      <c r="O5" s="26" t="s">
        <v>24</v>
      </c>
      <c r="P5" s="27"/>
    </row>
    <row r="6">
      <c r="A6" s="20"/>
      <c r="B6" s="21" t="s">
        <v>25</v>
      </c>
      <c r="C6" s="22">
        <v>0.0</v>
      </c>
      <c r="D6" s="22">
        <v>0.0</v>
      </c>
      <c r="E6" s="22">
        <v>0.0</v>
      </c>
      <c r="F6" s="23"/>
      <c r="G6" s="23"/>
      <c r="H6" s="23"/>
      <c r="I6" s="23"/>
      <c r="J6" s="23"/>
      <c r="K6" s="24">
        <v>100000.0</v>
      </c>
      <c r="L6" s="16" t="s">
        <v>19</v>
      </c>
      <c r="M6" s="23"/>
      <c r="N6" s="25" t="s">
        <v>26</v>
      </c>
      <c r="O6" s="26" t="s">
        <v>27</v>
      </c>
      <c r="P6" s="27"/>
    </row>
    <row r="7">
      <c r="A7" s="28">
        <v>2.0</v>
      </c>
      <c r="B7" s="21">
        <v>45946.0</v>
      </c>
      <c r="C7" s="29" t="s">
        <v>28</v>
      </c>
      <c r="D7" s="30">
        <v>809.97</v>
      </c>
      <c r="E7" s="31">
        <v>26000.0</v>
      </c>
      <c r="F7" s="32" t="s">
        <v>29</v>
      </c>
      <c r="G7" s="23"/>
      <c r="H7" s="30" t="s">
        <v>30</v>
      </c>
      <c r="I7" s="23"/>
      <c r="J7" s="23"/>
      <c r="K7" s="24">
        <v>200000.0</v>
      </c>
      <c r="L7" s="33" t="s">
        <v>31</v>
      </c>
      <c r="M7" s="23"/>
      <c r="N7" s="34" t="s">
        <v>32</v>
      </c>
      <c r="O7" s="26" t="s">
        <v>33</v>
      </c>
      <c r="P7" s="35">
        <v>45961.0</v>
      </c>
    </row>
    <row r="8">
      <c r="A8" s="20"/>
      <c r="B8" s="36">
        <v>45963.0</v>
      </c>
      <c r="C8" s="22">
        <v>0.0</v>
      </c>
      <c r="D8" s="22">
        <v>0.0</v>
      </c>
      <c r="E8" s="22">
        <v>0.0</v>
      </c>
      <c r="F8" s="37"/>
      <c r="G8" s="23"/>
      <c r="H8" s="23"/>
      <c r="I8" s="23"/>
      <c r="J8" s="23"/>
      <c r="K8" s="24">
        <v>500000.0</v>
      </c>
      <c r="L8" s="33" t="s">
        <v>31</v>
      </c>
      <c r="M8" s="30" t="s">
        <v>34</v>
      </c>
      <c r="N8" s="38" t="s">
        <v>35</v>
      </c>
      <c r="O8" s="26" t="s">
        <v>36</v>
      </c>
      <c r="P8" s="39"/>
    </row>
    <row r="9">
      <c r="A9" s="20"/>
      <c r="B9" s="21" t="s">
        <v>37</v>
      </c>
      <c r="C9" s="22">
        <v>0.0</v>
      </c>
      <c r="D9" s="22">
        <v>0.0</v>
      </c>
      <c r="E9" s="22">
        <v>0.0</v>
      </c>
      <c r="F9" s="37"/>
      <c r="G9" s="23"/>
      <c r="H9" s="23"/>
      <c r="I9" s="23"/>
      <c r="J9" s="23"/>
      <c r="K9" s="24">
        <v>813333.0</v>
      </c>
      <c r="L9" s="33" t="s">
        <v>31</v>
      </c>
      <c r="M9" s="23"/>
      <c r="N9" s="32" t="s">
        <v>38</v>
      </c>
      <c r="O9" s="26" t="s">
        <v>39</v>
      </c>
      <c r="P9" s="27"/>
    </row>
    <row r="10">
      <c r="A10" s="20"/>
      <c r="B10" s="21" t="s">
        <v>40</v>
      </c>
      <c r="C10" s="22">
        <v>0.0</v>
      </c>
      <c r="D10" s="22">
        <v>0.0</v>
      </c>
      <c r="E10" s="22">
        <v>0.0</v>
      </c>
      <c r="F10" s="37"/>
      <c r="G10" s="23"/>
      <c r="H10" s="23"/>
      <c r="I10" s="23"/>
      <c r="J10" s="23"/>
      <c r="K10" s="24">
        <v>5506407.0</v>
      </c>
      <c r="L10" s="33" t="s">
        <v>31</v>
      </c>
      <c r="M10" s="30" t="s">
        <v>41</v>
      </c>
      <c r="N10" s="37"/>
      <c r="O10" s="26" t="s">
        <v>42</v>
      </c>
      <c r="P10" s="27"/>
    </row>
    <row r="11">
      <c r="A11" s="28">
        <v>3.0</v>
      </c>
      <c r="B11" s="21">
        <v>45948.0</v>
      </c>
      <c r="C11" s="40" t="s">
        <v>43</v>
      </c>
      <c r="D11" s="30">
        <v>366.73</v>
      </c>
      <c r="E11" s="31">
        <v>27000.0</v>
      </c>
      <c r="F11" s="30" t="s">
        <v>44</v>
      </c>
      <c r="G11" s="23"/>
      <c r="H11" s="23"/>
      <c r="I11" s="23"/>
      <c r="J11" s="23"/>
      <c r="K11" s="24">
        <v>100000.0</v>
      </c>
      <c r="L11" s="30" t="s">
        <v>45</v>
      </c>
      <c r="M11" s="23"/>
      <c r="N11" s="25" t="s">
        <v>46</v>
      </c>
      <c r="O11" s="26" t="s">
        <v>47</v>
      </c>
      <c r="P11" s="35">
        <v>45963.0</v>
      </c>
    </row>
    <row r="12">
      <c r="A12" s="28">
        <v>4.0</v>
      </c>
      <c r="B12" s="21">
        <v>45948.0</v>
      </c>
      <c r="C12" s="29" t="s">
        <v>48</v>
      </c>
      <c r="D12" s="30">
        <v>261.19</v>
      </c>
      <c r="E12" s="31">
        <v>26000.0</v>
      </c>
      <c r="F12" s="30" t="s">
        <v>49</v>
      </c>
      <c r="G12" s="23"/>
      <c r="H12" s="30" t="s">
        <v>50</v>
      </c>
      <c r="I12" s="23"/>
      <c r="J12" s="23"/>
      <c r="K12" s="24">
        <v>99000.0</v>
      </c>
      <c r="L12" s="30" t="s">
        <v>51</v>
      </c>
      <c r="M12" s="23"/>
      <c r="N12" s="25" t="s">
        <v>52</v>
      </c>
      <c r="O12" s="26" t="s">
        <v>53</v>
      </c>
      <c r="P12" s="35">
        <v>45963.0</v>
      </c>
    </row>
    <row r="13">
      <c r="A13" s="20"/>
      <c r="B13" s="21">
        <v>45952.0</v>
      </c>
      <c r="C13" s="22">
        <v>0.0</v>
      </c>
      <c r="D13" s="22">
        <v>0.0</v>
      </c>
      <c r="E13" s="22">
        <v>0.0</v>
      </c>
      <c r="F13" s="23"/>
      <c r="G13" s="23"/>
      <c r="H13" s="23"/>
      <c r="I13" s="23"/>
      <c r="J13" s="23"/>
      <c r="K13" s="24">
        <v>50000.0</v>
      </c>
      <c r="L13" s="30" t="s">
        <v>51</v>
      </c>
      <c r="M13" s="23"/>
      <c r="N13" s="25" t="s">
        <v>54</v>
      </c>
      <c r="O13" s="26" t="s">
        <v>55</v>
      </c>
      <c r="P13" s="39"/>
    </row>
    <row r="14">
      <c r="A14" s="20"/>
      <c r="B14" s="25" t="s">
        <v>56</v>
      </c>
      <c r="C14" s="22">
        <v>0.0</v>
      </c>
      <c r="D14" s="22">
        <v>0.0</v>
      </c>
      <c r="E14" s="22">
        <v>0.0</v>
      </c>
      <c r="F14" s="23"/>
      <c r="G14" s="23"/>
      <c r="H14" s="23"/>
      <c r="I14" s="23"/>
      <c r="J14" s="23"/>
      <c r="K14" s="24">
        <v>750000.0</v>
      </c>
      <c r="L14" s="30" t="s">
        <v>51</v>
      </c>
      <c r="M14" s="25" t="s">
        <v>57</v>
      </c>
      <c r="N14" s="25" t="s">
        <v>58</v>
      </c>
      <c r="O14" s="26" t="s">
        <v>59</v>
      </c>
      <c r="P14" s="39"/>
    </row>
    <row r="15">
      <c r="A15" s="20"/>
      <c r="B15" s="25" t="s">
        <v>60</v>
      </c>
      <c r="C15" s="22">
        <v>0.0</v>
      </c>
      <c r="D15" s="22">
        <v>0.0</v>
      </c>
      <c r="E15" s="22">
        <v>0.0</v>
      </c>
      <c r="F15" s="23"/>
      <c r="G15" s="23"/>
      <c r="H15" s="23"/>
      <c r="I15" s="23"/>
      <c r="J15" s="23"/>
      <c r="K15" s="24">
        <v>162000.0</v>
      </c>
      <c r="L15" s="30" t="s">
        <v>51</v>
      </c>
      <c r="M15" s="25" t="s">
        <v>61</v>
      </c>
      <c r="N15" s="23"/>
      <c r="O15" s="26" t="s">
        <v>62</v>
      </c>
      <c r="P15" s="39"/>
    </row>
    <row r="16">
      <c r="A16" s="20"/>
      <c r="B16" s="25" t="s">
        <v>60</v>
      </c>
      <c r="C16" s="22">
        <v>0.0</v>
      </c>
      <c r="D16" s="22">
        <v>0.0</v>
      </c>
      <c r="E16" s="22">
        <v>0.0</v>
      </c>
      <c r="F16" s="23"/>
      <c r="G16" s="23"/>
      <c r="H16" s="23"/>
      <c r="I16" s="23"/>
      <c r="J16" s="23"/>
      <c r="K16" s="24">
        <v>635500.0</v>
      </c>
      <c r="L16" s="30" t="s">
        <v>51</v>
      </c>
      <c r="M16" s="25" t="s">
        <v>57</v>
      </c>
      <c r="N16" s="25" t="s">
        <v>63</v>
      </c>
      <c r="O16" s="26" t="s">
        <v>64</v>
      </c>
      <c r="P16" s="27"/>
    </row>
    <row r="17">
      <c r="A17" s="20"/>
      <c r="B17" s="25" t="s">
        <v>21</v>
      </c>
      <c r="C17" s="22">
        <v>0.0</v>
      </c>
      <c r="D17" s="22">
        <v>0.0</v>
      </c>
      <c r="E17" s="22">
        <v>0.0</v>
      </c>
      <c r="F17" s="23"/>
      <c r="G17" s="23"/>
      <c r="H17" s="23"/>
      <c r="I17" s="23"/>
      <c r="J17" s="23"/>
      <c r="K17" s="24">
        <v>1240.0</v>
      </c>
      <c r="L17" s="30" t="s">
        <v>51</v>
      </c>
      <c r="M17" s="25" t="s">
        <v>61</v>
      </c>
      <c r="N17" s="23"/>
      <c r="O17" s="26" t="s">
        <v>65</v>
      </c>
      <c r="P17" s="27"/>
    </row>
    <row r="18">
      <c r="A18" s="20"/>
      <c r="B18" s="25" t="s">
        <v>66</v>
      </c>
      <c r="C18" s="22">
        <v>0.0</v>
      </c>
      <c r="D18" s="22">
        <v>0.0</v>
      </c>
      <c r="E18" s="22">
        <v>0.0</v>
      </c>
      <c r="F18" s="23"/>
      <c r="G18" s="23"/>
      <c r="H18" s="23"/>
      <c r="I18" s="23"/>
      <c r="J18" s="23"/>
      <c r="K18" s="24">
        <v>2000000.0</v>
      </c>
      <c r="L18" s="30" t="s">
        <v>51</v>
      </c>
      <c r="M18" s="25" t="s">
        <v>61</v>
      </c>
      <c r="N18" s="23"/>
      <c r="O18" s="26" t="s">
        <v>67</v>
      </c>
      <c r="P18" s="27"/>
    </row>
    <row r="19">
      <c r="A19" s="28">
        <v>5.0</v>
      </c>
      <c r="B19" s="21">
        <v>45948.0</v>
      </c>
      <c r="C19" s="29" t="s">
        <v>68</v>
      </c>
      <c r="D19" s="30">
        <v>250.07</v>
      </c>
      <c r="E19" s="33" t="s">
        <v>69</v>
      </c>
      <c r="F19" s="30" t="s">
        <v>70</v>
      </c>
      <c r="G19" s="30" t="s">
        <v>71</v>
      </c>
      <c r="H19" s="25" t="s">
        <v>72</v>
      </c>
      <c r="I19" s="23"/>
      <c r="J19" s="23"/>
      <c r="K19" s="24">
        <v>99000.0</v>
      </c>
      <c r="L19" s="32" t="s">
        <v>73</v>
      </c>
      <c r="M19" s="23"/>
      <c r="N19" s="30" t="s">
        <v>74</v>
      </c>
      <c r="O19" s="26" t="s">
        <v>75</v>
      </c>
      <c r="P19" s="35">
        <v>45963.0</v>
      </c>
    </row>
    <row r="20">
      <c r="A20" s="20"/>
      <c r="B20" s="21">
        <v>45969.0</v>
      </c>
      <c r="C20" s="22">
        <v>0.0</v>
      </c>
      <c r="D20" s="22">
        <v>0.0</v>
      </c>
      <c r="E20" s="22">
        <v>0.0</v>
      </c>
      <c r="F20" s="23"/>
      <c r="G20" s="23"/>
      <c r="H20" s="23"/>
      <c r="I20" s="23"/>
      <c r="J20" s="23"/>
      <c r="K20" s="24">
        <v>500000.0</v>
      </c>
      <c r="L20" s="32" t="s">
        <v>73</v>
      </c>
      <c r="M20" s="23"/>
      <c r="N20" s="30" t="s">
        <v>76</v>
      </c>
      <c r="O20" s="26" t="s">
        <v>77</v>
      </c>
      <c r="P20" s="39"/>
    </row>
    <row r="21">
      <c r="A21" s="20"/>
      <c r="B21" s="21">
        <v>45969.0</v>
      </c>
      <c r="C21" s="22">
        <v>0.0</v>
      </c>
      <c r="D21" s="22">
        <v>0.0</v>
      </c>
      <c r="E21" s="22">
        <v>0.0</v>
      </c>
      <c r="F21" s="23"/>
      <c r="G21" s="23"/>
      <c r="H21" s="23"/>
      <c r="I21" s="23"/>
      <c r="J21" s="23"/>
      <c r="K21" s="24">
        <v>500000.0</v>
      </c>
      <c r="L21" s="32" t="s">
        <v>73</v>
      </c>
      <c r="M21" s="25" t="s">
        <v>78</v>
      </c>
      <c r="N21" s="23"/>
      <c r="O21" s="26" t="s">
        <v>79</v>
      </c>
      <c r="P21" s="39"/>
    </row>
    <row r="22">
      <c r="A22" s="20"/>
      <c r="B22" s="21">
        <v>45969.0</v>
      </c>
      <c r="C22" s="22">
        <v>0.0</v>
      </c>
      <c r="D22" s="22">
        <v>0.0</v>
      </c>
      <c r="E22" s="22">
        <v>0.0</v>
      </c>
      <c r="F22" s="23"/>
      <c r="G22" s="23"/>
      <c r="H22" s="23"/>
      <c r="I22" s="23"/>
      <c r="J22" s="23"/>
      <c r="K22" s="24">
        <v>500000.0</v>
      </c>
      <c r="L22" s="32" t="s">
        <v>73</v>
      </c>
      <c r="M22" s="25" t="s">
        <v>78</v>
      </c>
      <c r="N22" s="23"/>
      <c r="O22" s="26" t="s">
        <v>80</v>
      </c>
      <c r="P22" s="39"/>
    </row>
    <row r="23">
      <c r="A23" s="20"/>
      <c r="B23" s="21">
        <v>45969.0</v>
      </c>
      <c r="C23" s="22">
        <v>0.0</v>
      </c>
      <c r="D23" s="22">
        <v>0.0</v>
      </c>
      <c r="E23" s="22">
        <v>0.0</v>
      </c>
      <c r="F23" s="23"/>
      <c r="G23" s="23"/>
      <c r="H23" s="23"/>
      <c r="I23" s="23"/>
      <c r="J23" s="23"/>
      <c r="K23" s="24">
        <v>500000.0</v>
      </c>
      <c r="L23" s="32" t="s">
        <v>73</v>
      </c>
      <c r="M23" s="25" t="s">
        <v>78</v>
      </c>
      <c r="N23" s="23"/>
      <c r="O23" s="26" t="s">
        <v>81</v>
      </c>
      <c r="P23" s="39"/>
    </row>
    <row r="24">
      <c r="A24" s="28">
        <v>6.0</v>
      </c>
      <c r="B24" s="21">
        <v>45951.0</v>
      </c>
      <c r="C24" s="29" t="s">
        <v>82</v>
      </c>
      <c r="D24" s="30">
        <v>183.36</v>
      </c>
      <c r="E24" s="31">
        <v>26000.0</v>
      </c>
      <c r="F24" s="30" t="s">
        <v>18</v>
      </c>
      <c r="G24" s="30" t="s">
        <v>83</v>
      </c>
      <c r="H24" s="25" t="s">
        <v>84</v>
      </c>
      <c r="I24" s="23"/>
      <c r="J24" s="23"/>
      <c r="K24" s="24">
        <v>200000.0</v>
      </c>
      <c r="L24" s="30" t="s">
        <v>85</v>
      </c>
      <c r="M24" s="25" t="s">
        <v>13</v>
      </c>
      <c r="N24" s="23"/>
      <c r="O24" s="26" t="s">
        <v>86</v>
      </c>
      <c r="P24" s="35">
        <v>45966.0</v>
      </c>
    </row>
    <row r="25">
      <c r="A25" s="20"/>
      <c r="B25" s="21" t="s">
        <v>21</v>
      </c>
      <c r="C25" s="22">
        <v>0.0</v>
      </c>
      <c r="D25" s="22">
        <v>0.0</v>
      </c>
      <c r="E25" s="22">
        <v>0.0</v>
      </c>
      <c r="F25" s="23"/>
      <c r="G25" s="23"/>
      <c r="H25" s="23"/>
      <c r="I25" s="23"/>
      <c r="J25" s="23"/>
      <c r="K25" s="24">
        <v>700000.0</v>
      </c>
      <c r="L25" s="30" t="s">
        <v>85</v>
      </c>
      <c r="M25" s="25" t="s">
        <v>13</v>
      </c>
      <c r="N25" s="23"/>
      <c r="O25" s="26" t="s">
        <v>87</v>
      </c>
      <c r="P25" s="27"/>
    </row>
    <row r="26">
      <c r="A26" s="20"/>
      <c r="B26" s="21">
        <v>45974.0</v>
      </c>
      <c r="C26" s="22">
        <v>0.0</v>
      </c>
      <c r="D26" s="22">
        <v>0.0</v>
      </c>
      <c r="E26" s="22">
        <v>0.0</v>
      </c>
      <c r="F26" s="23"/>
      <c r="G26" s="23"/>
      <c r="H26" s="23"/>
      <c r="I26" s="23"/>
      <c r="J26" s="23"/>
      <c r="K26" s="24">
        <v>229200.0</v>
      </c>
      <c r="L26" s="30" t="s">
        <v>85</v>
      </c>
      <c r="M26" s="23"/>
      <c r="N26" s="25" t="s">
        <v>88</v>
      </c>
      <c r="O26" s="26" t="s">
        <v>89</v>
      </c>
      <c r="P26" s="27"/>
    </row>
    <row r="27">
      <c r="A27" s="20"/>
      <c r="B27" s="21" t="s">
        <v>66</v>
      </c>
      <c r="C27" s="22">
        <v>0.0</v>
      </c>
      <c r="D27" s="22">
        <v>0.0</v>
      </c>
      <c r="E27" s="22">
        <v>0.0</v>
      </c>
      <c r="F27" s="23"/>
      <c r="G27" s="23"/>
      <c r="H27" s="23"/>
      <c r="I27" s="23"/>
      <c r="J27" s="23"/>
      <c r="K27" s="24">
        <v>62640.0</v>
      </c>
      <c r="L27" s="30" t="s">
        <v>85</v>
      </c>
      <c r="M27" s="25" t="s">
        <v>13</v>
      </c>
      <c r="N27" s="23"/>
      <c r="O27" s="26" t="s">
        <v>90</v>
      </c>
      <c r="P27" s="27"/>
    </row>
    <row r="28">
      <c r="A28" s="28">
        <v>7.0</v>
      </c>
      <c r="B28" s="25" t="s">
        <v>91</v>
      </c>
      <c r="C28" s="41">
        <v>595.0</v>
      </c>
      <c r="D28" s="30">
        <v>493.75</v>
      </c>
      <c r="E28" s="31">
        <v>27000.0</v>
      </c>
      <c r="F28" s="30" t="s">
        <v>92</v>
      </c>
      <c r="G28" s="23"/>
      <c r="H28" s="25" t="s">
        <v>93</v>
      </c>
      <c r="I28" s="25" t="s">
        <v>94</v>
      </c>
      <c r="J28" s="23"/>
      <c r="K28" s="24">
        <v>200000.0</v>
      </c>
      <c r="L28" s="25" t="s">
        <v>95</v>
      </c>
      <c r="M28" s="25" t="s">
        <v>96</v>
      </c>
      <c r="N28" s="23"/>
      <c r="O28" s="26" t="s">
        <v>97</v>
      </c>
      <c r="P28" s="35">
        <v>45970.0</v>
      </c>
    </row>
    <row r="29">
      <c r="A29" s="20"/>
      <c r="B29" s="25" t="s">
        <v>98</v>
      </c>
      <c r="C29" s="22">
        <v>0.0</v>
      </c>
      <c r="D29" s="22">
        <v>0.0</v>
      </c>
      <c r="E29" s="22">
        <v>0.0</v>
      </c>
      <c r="F29" s="23"/>
      <c r="G29" s="23"/>
      <c r="H29" s="23"/>
      <c r="I29" s="23"/>
      <c r="J29" s="23"/>
      <c r="K29" s="24">
        <v>3498000.0</v>
      </c>
      <c r="L29" s="25" t="s">
        <v>95</v>
      </c>
      <c r="M29" s="25" t="s">
        <v>99</v>
      </c>
      <c r="N29" s="23"/>
      <c r="O29" s="26" t="s">
        <v>100</v>
      </c>
      <c r="P29" s="39"/>
    </row>
    <row r="30">
      <c r="A30" s="20"/>
      <c r="B30" s="25" t="s">
        <v>98</v>
      </c>
      <c r="C30" s="22">
        <v>0.0</v>
      </c>
      <c r="D30" s="22">
        <v>0.0</v>
      </c>
      <c r="E30" s="22">
        <v>0.0</v>
      </c>
      <c r="F30" s="23"/>
      <c r="G30" s="23"/>
      <c r="H30" s="23"/>
      <c r="I30" s="23"/>
      <c r="J30" s="23"/>
      <c r="K30" s="24">
        <v>5125.0</v>
      </c>
      <c r="L30" s="25" t="s">
        <v>95</v>
      </c>
      <c r="M30" s="25">
        <v>0.0</v>
      </c>
      <c r="N30" s="30" t="s">
        <v>101</v>
      </c>
      <c r="O30" s="26" t="s">
        <v>102</v>
      </c>
      <c r="P30" s="39"/>
    </row>
    <row r="31">
      <c r="A31" s="20"/>
      <c r="B31" s="25" t="s">
        <v>98</v>
      </c>
      <c r="C31" s="22">
        <v>0.0</v>
      </c>
      <c r="D31" s="22">
        <v>0.0</v>
      </c>
      <c r="E31" s="22">
        <v>0.0</v>
      </c>
      <c r="F31" s="23"/>
      <c r="G31" s="23"/>
      <c r="H31" s="23"/>
      <c r="I31" s="23"/>
      <c r="J31" s="23"/>
      <c r="K31" s="24">
        <v>822916.0</v>
      </c>
      <c r="L31" s="25" t="s">
        <v>95</v>
      </c>
      <c r="M31" s="25">
        <v>0.0</v>
      </c>
      <c r="N31" s="30" t="s">
        <v>103</v>
      </c>
      <c r="O31" s="26" t="s">
        <v>104</v>
      </c>
      <c r="P31" s="39"/>
    </row>
    <row r="32">
      <c r="A32" s="28">
        <v>8.0</v>
      </c>
      <c r="B32" s="25" t="s">
        <v>91</v>
      </c>
      <c r="C32" s="25">
        <v>258.0</v>
      </c>
      <c r="D32" s="30">
        <v>366.73</v>
      </c>
      <c r="E32" s="31">
        <v>27000.0</v>
      </c>
      <c r="F32" s="30" t="s">
        <v>44</v>
      </c>
      <c r="G32" s="23"/>
      <c r="H32" s="23"/>
      <c r="I32" s="23"/>
      <c r="J32" s="23"/>
      <c r="K32" s="24">
        <v>75000.0</v>
      </c>
      <c r="L32" s="30" t="s">
        <v>105</v>
      </c>
      <c r="M32" s="23"/>
      <c r="N32" s="30" t="s">
        <v>106</v>
      </c>
      <c r="O32" s="26" t="s">
        <v>107</v>
      </c>
      <c r="P32" s="35">
        <v>45970.0</v>
      </c>
    </row>
    <row r="33">
      <c r="A33" s="20"/>
      <c r="B33" s="25" t="s">
        <v>21</v>
      </c>
      <c r="C33" s="22">
        <v>0.0</v>
      </c>
      <c r="D33" s="22">
        <v>0.0</v>
      </c>
      <c r="E33" s="22">
        <v>0.0</v>
      </c>
      <c r="F33" s="23"/>
      <c r="G33" s="23"/>
      <c r="H33" s="23"/>
      <c r="I33" s="23"/>
      <c r="J33" s="23"/>
      <c r="K33" s="24">
        <v>25000.0</v>
      </c>
      <c r="L33" s="30" t="s">
        <v>105</v>
      </c>
      <c r="M33" s="23"/>
      <c r="N33" s="30" t="s">
        <v>108</v>
      </c>
      <c r="O33" s="26" t="s">
        <v>109</v>
      </c>
      <c r="P33" s="27"/>
    </row>
    <row r="34">
      <c r="A34" s="20"/>
      <c r="B34" s="25" t="s">
        <v>21</v>
      </c>
      <c r="C34" s="22">
        <v>0.0</v>
      </c>
      <c r="D34" s="22">
        <v>0.0</v>
      </c>
      <c r="E34" s="22">
        <v>0.0</v>
      </c>
      <c r="F34" s="23"/>
      <c r="G34" s="23"/>
      <c r="H34" s="23"/>
      <c r="I34" s="23"/>
      <c r="J34" s="23"/>
      <c r="K34" s="24">
        <v>500000.0</v>
      </c>
      <c r="L34" s="30" t="s">
        <v>105</v>
      </c>
      <c r="M34" s="23"/>
      <c r="N34" s="30" t="s">
        <v>110</v>
      </c>
      <c r="O34" s="26" t="s">
        <v>109</v>
      </c>
      <c r="P34" s="27"/>
    </row>
    <row r="35">
      <c r="A35" s="20"/>
      <c r="B35" s="25" t="s">
        <v>25</v>
      </c>
      <c r="C35" s="22">
        <v>0.0</v>
      </c>
      <c r="D35" s="22">
        <v>0.0</v>
      </c>
      <c r="E35" s="22">
        <v>0.0</v>
      </c>
      <c r="F35" s="23"/>
      <c r="G35" s="23"/>
      <c r="H35" s="23"/>
      <c r="I35" s="23"/>
      <c r="J35" s="23"/>
      <c r="K35" s="24">
        <v>300000.0</v>
      </c>
      <c r="L35" s="30" t="s">
        <v>105</v>
      </c>
      <c r="M35" s="23"/>
      <c r="N35" s="30" t="s">
        <v>111</v>
      </c>
      <c r="O35" s="26" t="s">
        <v>112</v>
      </c>
      <c r="P35" s="27"/>
    </row>
    <row r="36">
      <c r="A36" s="20"/>
      <c r="B36" s="21">
        <v>45987.0</v>
      </c>
      <c r="C36" s="22">
        <v>0.0</v>
      </c>
      <c r="D36" s="22">
        <v>0.0</v>
      </c>
      <c r="E36" s="22">
        <v>0.0</v>
      </c>
      <c r="F36" s="23"/>
      <c r="G36" s="23"/>
      <c r="H36" s="23"/>
      <c r="I36" s="23"/>
      <c r="J36" s="23"/>
      <c r="K36" s="24">
        <v>450000.0</v>
      </c>
      <c r="L36" s="30" t="s">
        <v>105</v>
      </c>
      <c r="M36" s="23"/>
      <c r="N36" s="30" t="s">
        <v>113</v>
      </c>
      <c r="O36" s="26" t="s">
        <v>114</v>
      </c>
      <c r="P36" s="27"/>
    </row>
    <row r="37">
      <c r="A37" s="20"/>
      <c r="B37" s="21">
        <v>45988.0</v>
      </c>
      <c r="C37" s="22">
        <v>0.0</v>
      </c>
      <c r="D37" s="22">
        <v>0.0</v>
      </c>
      <c r="E37" s="22">
        <v>0.0</v>
      </c>
      <c r="F37" s="23"/>
      <c r="G37" s="23"/>
      <c r="H37" s="23"/>
      <c r="I37" s="23"/>
      <c r="J37" s="23"/>
      <c r="K37" s="24">
        <v>450000.0</v>
      </c>
      <c r="L37" s="30" t="s">
        <v>105</v>
      </c>
      <c r="M37" s="23"/>
      <c r="N37" s="30" t="s">
        <v>115</v>
      </c>
      <c r="O37" s="26" t="s">
        <v>116</v>
      </c>
      <c r="P37" s="27"/>
    </row>
    <row r="38">
      <c r="A38" s="42">
        <v>9.0</v>
      </c>
      <c r="B38" s="25" t="s">
        <v>117</v>
      </c>
      <c r="C38" s="30" t="s">
        <v>118</v>
      </c>
      <c r="D38" s="30" t="s">
        <v>119</v>
      </c>
      <c r="E38" s="31">
        <v>26000.0</v>
      </c>
      <c r="F38" s="30" t="s">
        <v>120</v>
      </c>
      <c r="G38" s="43" t="s">
        <v>121</v>
      </c>
      <c r="H38" s="23"/>
      <c r="I38" s="23"/>
      <c r="J38" s="25" t="s">
        <v>122</v>
      </c>
      <c r="K38" s="24">
        <f>54000</f>
        <v>54000</v>
      </c>
      <c r="L38" s="30" t="s">
        <v>123</v>
      </c>
      <c r="M38" s="25">
        <v>0.0</v>
      </c>
      <c r="N38" s="30" t="s">
        <v>124</v>
      </c>
      <c r="O38" s="26" t="s">
        <v>125</v>
      </c>
      <c r="P38" s="35">
        <v>45971.0</v>
      </c>
    </row>
    <row r="39">
      <c r="A39" s="20"/>
      <c r="B39" s="21">
        <v>45983.0</v>
      </c>
      <c r="C39" s="22">
        <v>0.0</v>
      </c>
      <c r="D39" s="22">
        <v>0.0</v>
      </c>
      <c r="E39" s="22">
        <v>0.0</v>
      </c>
      <c r="F39" s="23"/>
      <c r="G39" s="23"/>
      <c r="H39" s="23"/>
      <c r="I39" s="23"/>
      <c r="J39" s="23"/>
      <c r="K39" s="24">
        <v>2800000.0</v>
      </c>
      <c r="L39" s="30" t="s">
        <v>123</v>
      </c>
      <c r="M39" s="25" t="s">
        <v>78</v>
      </c>
      <c r="N39" s="23"/>
      <c r="O39" s="26" t="s">
        <v>126</v>
      </c>
      <c r="P39" s="39"/>
    </row>
    <row r="40">
      <c r="A40" s="20"/>
      <c r="B40" s="21">
        <v>45983.0</v>
      </c>
      <c r="C40" s="22">
        <v>0.0</v>
      </c>
      <c r="D40" s="22">
        <v>0.0</v>
      </c>
      <c r="E40" s="22">
        <v>0.0</v>
      </c>
      <c r="F40" s="23"/>
      <c r="G40" s="23"/>
      <c r="H40" s="23"/>
      <c r="I40" s="23"/>
      <c r="J40" s="23"/>
      <c r="K40" s="24">
        <v>200000.0</v>
      </c>
      <c r="L40" s="30" t="s">
        <v>123</v>
      </c>
      <c r="M40" s="25">
        <v>0.0</v>
      </c>
      <c r="N40" s="30" t="s">
        <v>127</v>
      </c>
      <c r="O40" s="26" t="s">
        <v>128</v>
      </c>
      <c r="P40" s="39"/>
    </row>
    <row r="41">
      <c r="A41" s="20"/>
      <c r="B41" s="21">
        <v>45985.0</v>
      </c>
      <c r="C41" s="22">
        <v>0.0</v>
      </c>
      <c r="D41" s="22">
        <v>0.0</v>
      </c>
      <c r="E41" s="22">
        <v>0.0</v>
      </c>
      <c r="F41" s="23"/>
      <c r="G41" s="23"/>
      <c r="H41" s="23"/>
      <c r="I41" s="23"/>
      <c r="J41" s="23"/>
      <c r="K41" s="24">
        <v>1000000.0</v>
      </c>
      <c r="L41" s="30" t="s">
        <v>123</v>
      </c>
      <c r="M41" s="25" t="s">
        <v>78</v>
      </c>
      <c r="N41" s="30">
        <v>0.0</v>
      </c>
      <c r="O41" s="26" t="s">
        <v>129</v>
      </c>
      <c r="P41" s="39"/>
    </row>
    <row r="42">
      <c r="A42" s="20"/>
      <c r="B42" s="21">
        <v>45985.0</v>
      </c>
      <c r="C42" s="22">
        <v>0.0</v>
      </c>
      <c r="D42" s="22">
        <v>0.0</v>
      </c>
      <c r="E42" s="22">
        <v>0.0</v>
      </c>
      <c r="F42" s="23"/>
      <c r="G42" s="23"/>
      <c r="H42" s="23"/>
      <c r="I42" s="23"/>
      <c r="J42" s="23"/>
      <c r="K42" s="24">
        <v>500000.0</v>
      </c>
      <c r="L42" s="30" t="s">
        <v>123</v>
      </c>
      <c r="M42" s="25" t="s">
        <v>78</v>
      </c>
      <c r="N42" s="30">
        <v>0.0</v>
      </c>
      <c r="O42" s="26" t="s">
        <v>130</v>
      </c>
      <c r="P42" s="39"/>
    </row>
    <row r="43">
      <c r="A43" s="20"/>
      <c r="B43" s="21">
        <v>45990.0</v>
      </c>
      <c r="C43" s="22">
        <v>0.0</v>
      </c>
      <c r="D43" s="22">
        <v>0.0</v>
      </c>
      <c r="E43" s="22">
        <v>0.0</v>
      </c>
      <c r="F43" s="23"/>
      <c r="G43" s="23"/>
      <c r="H43" s="23"/>
      <c r="I43" s="23"/>
      <c r="J43" s="23"/>
      <c r="K43" s="24">
        <v>1000000.0</v>
      </c>
      <c r="L43" s="30" t="s">
        <v>123</v>
      </c>
      <c r="M43" s="25" t="s">
        <v>78</v>
      </c>
      <c r="N43" s="30">
        <v>0.0</v>
      </c>
      <c r="O43" s="26" t="s">
        <v>131</v>
      </c>
      <c r="P43" s="39"/>
    </row>
    <row r="44">
      <c r="A44" s="20"/>
      <c r="B44" s="21">
        <v>45990.0</v>
      </c>
      <c r="C44" s="22">
        <v>0.0</v>
      </c>
      <c r="D44" s="22">
        <v>0.0</v>
      </c>
      <c r="E44" s="22">
        <v>0.0</v>
      </c>
      <c r="F44" s="23"/>
      <c r="G44" s="23"/>
      <c r="H44" s="23"/>
      <c r="I44" s="23"/>
      <c r="J44" s="23"/>
      <c r="K44" s="24">
        <v>650000.0</v>
      </c>
      <c r="L44" s="30" t="s">
        <v>123</v>
      </c>
      <c r="M44" s="25" t="s">
        <v>78</v>
      </c>
      <c r="N44" s="30">
        <v>0.0</v>
      </c>
      <c r="O44" s="26" t="s">
        <v>132</v>
      </c>
      <c r="P44" s="39"/>
    </row>
    <row r="45">
      <c r="A45" s="20"/>
      <c r="B45" s="21">
        <v>45997.0</v>
      </c>
      <c r="C45" s="22">
        <v>0.0</v>
      </c>
      <c r="D45" s="22">
        <v>0.0</v>
      </c>
      <c r="E45" s="22">
        <v>0.0</v>
      </c>
      <c r="F45" s="23"/>
      <c r="G45" s="23"/>
      <c r="H45" s="23"/>
      <c r="I45" s="23"/>
      <c r="J45" s="23"/>
      <c r="K45" s="24">
        <v>1000000.0</v>
      </c>
      <c r="L45" s="30" t="s">
        <v>123</v>
      </c>
      <c r="M45" s="25" t="s">
        <v>78</v>
      </c>
      <c r="N45" s="30">
        <v>0.0</v>
      </c>
      <c r="O45" s="44" t="s">
        <v>133</v>
      </c>
      <c r="P45" s="39"/>
    </row>
    <row r="46">
      <c r="A46" s="20"/>
      <c r="B46" s="21">
        <v>45997.0</v>
      </c>
      <c r="C46" s="45"/>
      <c r="D46" s="45"/>
      <c r="E46" s="45"/>
      <c r="F46" s="23"/>
      <c r="G46" s="23"/>
      <c r="H46" s="23"/>
      <c r="I46" s="23"/>
      <c r="J46" s="23"/>
      <c r="K46" s="24">
        <v>296000.0</v>
      </c>
      <c r="L46" s="30" t="s">
        <v>123</v>
      </c>
      <c r="M46" s="25" t="s">
        <v>78</v>
      </c>
      <c r="N46" s="30">
        <v>0.0</v>
      </c>
      <c r="O46" s="44" t="s">
        <v>134</v>
      </c>
      <c r="P46" s="39"/>
    </row>
    <row r="47">
      <c r="A47" s="28">
        <v>10.0</v>
      </c>
      <c r="B47" s="25" t="s">
        <v>117</v>
      </c>
      <c r="C47" s="41">
        <v>349.0</v>
      </c>
      <c r="D47" s="30" t="s">
        <v>135</v>
      </c>
      <c r="E47" s="31">
        <v>26500.0</v>
      </c>
      <c r="F47" s="30" t="s">
        <v>120</v>
      </c>
      <c r="G47" s="43" t="s">
        <v>121</v>
      </c>
      <c r="H47" s="23"/>
      <c r="I47" s="23"/>
      <c r="J47" s="25" t="s">
        <v>136</v>
      </c>
      <c r="K47" s="24">
        <v>54000.0</v>
      </c>
      <c r="L47" s="30" t="s">
        <v>137</v>
      </c>
      <c r="M47" s="23"/>
      <c r="N47" s="30" t="s">
        <v>138</v>
      </c>
      <c r="O47" s="26" t="s">
        <v>139</v>
      </c>
      <c r="P47" s="35">
        <v>45971.0</v>
      </c>
    </row>
    <row r="48">
      <c r="A48" s="20"/>
      <c r="B48" s="21">
        <v>45988.0</v>
      </c>
      <c r="C48" s="22">
        <v>0.0</v>
      </c>
      <c r="D48" s="22">
        <v>0.0</v>
      </c>
      <c r="E48" s="22">
        <v>0.0</v>
      </c>
      <c r="F48" s="23"/>
      <c r="G48" s="23"/>
      <c r="H48" s="23"/>
      <c r="I48" s="23"/>
      <c r="J48" s="23"/>
      <c r="K48" s="24">
        <v>229625.0</v>
      </c>
      <c r="L48" s="30" t="s">
        <v>137</v>
      </c>
      <c r="M48" s="23"/>
      <c r="N48" s="30" t="s">
        <v>140</v>
      </c>
      <c r="O48" s="26" t="s">
        <v>141</v>
      </c>
      <c r="P48" s="39"/>
    </row>
    <row r="49">
      <c r="A49" s="20"/>
      <c r="B49" s="21">
        <v>45988.0</v>
      </c>
      <c r="C49" s="22">
        <v>0.0</v>
      </c>
      <c r="D49" s="22">
        <v>0.0</v>
      </c>
      <c r="E49" s="22">
        <v>0.0</v>
      </c>
      <c r="F49" s="23"/>
      <c r="G49" s="23"/>
      <c r="H49" s="23"/>
      <c r="I49" s="23"/>
      <c r="J49" s="23"/>
      <c r="K49" s="24">
        <v>500000.0</v>
      </c>
      <c r="L49" s="30" t="s">
        <v>137</v>
      </c>
      <c r="M49" s="23"/>
      <c r="N49" s="30" t="s">
        <v>142</v>
      </c>
      <c r="O49" s="26" t="s">
        <v>143</v>
      </c>
      <c r="P49" s="39"/>
    </row>
    <row r="50">
      <c r="A50" s="20"/>
      <c r="B50" s="21">
        <v>45988.0</v>
      </c>
      <c r="C50" s="22">
        <v>0.0</v>
      </c>
      <c r="D50" s="22">
        <v>0.0</v>
      </c>
      <c r="E50" s="22">
        <v>0.0</v>
      </c>
      <c r="F50" s="23"/>
      <c r="G50" s="23"/>
      <c r="H50" s="23"/>
      <c r="I50" s="23"/>
      <c r="J50" s="23"/>
      <c r="K50" s="24">
        <v>376750.0</v>
      </c>
      <c r="L50" s="30" t="s">
        <v>137</v>
      </c>
      <c r="M50" s="23"/>
      <c r="N50" s="23"/>
      <c r="O50" s="26" t="s">
        <v>144</v>
      </c>
      <c r="P50" s="39"/>
    </row>
    <row r="51">
      <c r="A51" s="20"/>
      <c r="B51" s="21">
        <v>45988.0</v>
      </c>
      <c r="C51" s="22">
        <v>0.0</v>
      </c>
      <c r="D51" s="22">
        <v>0.0</v>
      </c>
      <c r="E51" s="22">
        <v>0.0</v>
      </c>
      <c r="F51" s="23"/>
      <c r="G51" s="23"/>
      <c r="H51" s="23"/>
      <c r="I51" s="23"/>
      <c r="J51" s="23"/>
      <c r="K51" s="24">
        <v>221000.0</v>
      </c>
      <c r="L51" s="30" t="s">
        <v>137</v>
      </c>
      <c r="M51" s="23"/>
      <c r="N51" s="30" t="s">
        <v>145</v>
      </c>
      <c r="O51" s="26" t="s">
        <v>146</v>
      </c>
      <c r="P51" s="39"/>
    </row>
    <row r="52">
      <c r="A52" s="20"/>
      <c r="B52" s="21">
        <v>45988.0</v>
      </c>
      <c r="C52" s="22">
        <v>0.0</v>
      </c>
      <c r="D52" s="22">
        <v>0.0</v>
      </c>
      <c r="E52" s="22">
        <v>0.0</v>
      </c>
      <c r="F52" s="23"/>
      <c r="G52" s="23"/>
      <c r="H52" s="23"/>
      <c r="I52" s="23"/>
      <c r="J52" s="23"/>
      <c r="K52" s="24">
        <v>426750.0</v>
      </c>
      <c r="L52" s="30" t="s">
        <v>137</v>
      </c>
      <c r="M52" s="23"/>
      <c r="N52" s="30" t="s">
        <v>147</v>
      </c>
      <c r="O52" s="26" t="s">
        <v>148</v>
      </c>
      <c r="P52" s="39"/>
    </row>
    <row r="53">
      <c r="A53" s="20"/>
      <c r="B53" s="21">
        <v>45988.0</v>
      </c>
      <c r="C53" s="22">
        <v>0.0</v>
      </c>
      <c r="D53" s="22">
        <v>0.0</v>
      </c>
      <c r="E53" s="22">
        <v>0.0</v>
      </c>
      <c r="F53" s="23"/>
      <c r="G53" s="23"/>
      <c r="H53" s="23"/>
      <c r="I53" s="23"/>
      <c r="J53" s="23"/>
      <c r="K53" s="24">
        <v>123250.0</v>
      </c>
      <c r="L53" s="30" t="s">
        <v>137</v>
      </c>
      <c r="M53" s="23"/>
      <c r="N53" s="30" t="s">
        <v>149</v>
      </c>
      <c r="O53" s="26" t="s">
        <v>150</v>
      </c>
      <c r="P53" s="39"/>
    </row>
    <row r="54">
      <c r="A54" s="20"/>
      <c r="B54" s="21">
        <v>45988.0</v>
      </c>
      <c r="C54" s="22">
        <v>0.0</v>
      </c>
      <c r="D54" s="22">
        <v>0.0</v>
      </c>
      <c r="E54" s="22">
        <v>0.0</v>
      </c>
      <c r="F54" s="23"/>
      <c r="G54" s="23"/>
      <c r="H54" s="23"/>
      <c r="I54" s="23"/>
      <c r="J54" s="23"/>
      <c r="K54" s="24">
        <v>500000.0</v>
      </c>
      <c r="L54" s="30" t="s">
        <v>137</v>
      </c>
      <c r="M54" s="23"/>
      <c r="N54" s="30" t="s">
        <v>151</v>
      </c>
      <c r="O54" s="26" t="s">
        <v>152</v>
      </c>
      <c r="P54" s="39"/>
    </row>
    <row r="55">
      <c r="A55" s="28">
        <v>11.0</v>
      </c>
      <c r="B55" s="25" t="s">
        <v>117</v>
      </c>
      <c r="C55" s="41">
        <v>527.0</v>
      </c>
      <c r="D55" s="30" t="s">
        <v>153</v>
      </c>
      <c r="E55" s="31">
        <v>26100.0</v>
      </c>
      <c r="F55" s="30" t="s">
        <v>120</v>
      </c>
      <c r="G55" s="43" t="s">
        <v>121</v>
      </c>
      <c r="H55" s="23"/>
      <c r="I55" s="23"/>
      <c r="J55" s="25" t="s">
        <v>136</v>
      </c>
      <c r="K55" s="24">
        <v>50000.0</v>
      </c>
      <c r="L55" s="30" t="s">
        <v>154</v>
      </c>
      <c r="M55" s="23"/>
      <c r="N55" s="30" t="s">
        <v>155</v>
      </c>
      <c r="O55" s="26" t="s">
        <v>156</v>
      </c>
      <c r="P55" s="35">
        <v>45971.0</v>
      </c>
    </row>
    <row r="56">
      <c r="A56" s="20"/>
      <c r="B56" s="25" t="s">
        <v>117</v>
      </c>
      <c r="C56" s="22">
        <v>0.0</v>
      </c>
      <c r="D56" s="22">
        <v>0.0</v>
      </c>
      <c r="E56" s="22">
        <v>0.0</v>
      </c>
      <c r="F56" s="23"/>
      <c r="G56" s="23"/>
      <c r="H56" s="23"/>
      <c r="I56" s="23"/>
      <c r="J56" s="23"/>
      <c r="K56" s="24">
        <v>50000.0</v>
      </c>
      <c r="L56" s="30" t="s">
        <v>154</v>
      </c>
      <c r="M56" s="23"/>
      <c r="N56" s="30" t="s">
        <v>157</v>
      </c>
      <c r="O56" s="26" t="s">
        <v>156</v>
      </c>
      <c r="P56" s="39"/>
    </row>
    <row r="57">
      <c r="A57" s="20"/>
      <c r="B57" s="25" t="s">
        <v>158</v>
      </c>
      <c r="C57" s="22">
        <v>0.0</v>
      </c>
      <c r="D57" s="22">
        <v>0.0</v>
      </c>
      <c r="E57" s="22">
        <v>0.0</v>
      </c>
      <c r="F57" s="23"/>
      <c r="G57" s="23"/>
      <c r="H57" s="23"/>
      <c r="I57" s="23"/>
      <c r="J57" s="23"/>
      <c r="K57" s="24">
        <v>50000.0</v>
      </c>
      <c r="L57" s="30" t="s">
        <v>154</v>
      </c>
      <c r="M57" s="23"/>
      <c r="N57" s="30" t="s">
        <v>159</v>
      </c>
      <c r="O57" s="26" t="s">
        <v>160</v>
      </c>
      <c r="P57" s="39"/>
    </row>
    <row r="58">
      <c r="A58" s="20"/>
      <c r="B58" s="25" t="s">
        <v>40</v>
      </c>
      <c r="C58" s="22">
        <v>0.0</v>
      </c>
      <c r="D58" s="22">
        <v>0.0</v>
      </c>
      <c r="E58" s="22">
        <v>0.0</v>
      </c>
      <c r="F58" s="23"/>
      <c r="G58" s="23"/>
      <c r="H58" s="23"/>
      <c r="I58" s="23"/>
      <c r="J58" s="23"/>
      <c r="K58" s="24">
        <v>200000.0</v>
      </c>
      <c r="L58" s="30" t="s">
        <v>154</v>
      </c>
      <c r="M58" s="23"/>
      <c r="N58" s="46" t="s">
        <v>161</v>
      </c>
      <c r="O58" s="26" t="s">
        <v>160</v>
      </c>
      <c r="P58" s="39"/>
    </row>
    <row r="59">
      <c r="A59" s="20"/>
      <c r="B59" s="25" t="s">
        <v>98</v>
      </c>
      <c r="C59" s="22">
        <v>0.0</v>
      </c>
      <c r="D59" s="22">
        <v>0.0</v>
      </c>
      <c r="E59" s="22">
        <v>0.0</v>
      </c>
      <c r="F59" s="23"/>
      <c r="G59" s="23"/>
      <c r="H59" s="23"/>
      <c r="I59" s="23"/>
      <c r="J59" s="23"/>
      <c r="K59" s="24">
        <v>200000.0</v>
      </c>
      <c r="L59" s="30" t="s">
        <v>154</v>
      </c>
      <c r="M59" s="23"/>
      <c r="N59" s="46" t="s">
        <v>162</v>
      </c>
      <c r="O59" s="26" t="s">
        <v>160</v>
      </c>
      <c r="P59" s="39"/>
    </row>
    <row r="60">
      <c r="A60" s="20"/>
      <c r="B60" s="25" t="s">
        <v>98</v>
      </c>
      <c r="C60" s="22">
        <v>0.0</v>
      </c>
      <c r="D60" s="22">
        <v>0.0</v>
      </c>
      <c r="E60" s="22">
        <v>0.0</v>
      </c>
      <c r="F60" s="23"/>
      <c r="G60" s="23"/>
      <c r="H60" s="23"/>
      <c r="I60" s="23"/>
      <c r="J60" s="23"/>
      <c r="K60" s="24">
        <v>450000.0</v>
      </c>
      <c r="L60" s="30" t="s">
        <v>154</v>
      </c>
      <c r="M60" s="23"/>
      <c r="N60" s="46" t="s">
        <v>163</v>
      </c>
      <c r="O60" s="26" t="s">
        <v>160</v>
      </c>
      <c r="P60" s="39"/>
    </row>
    <row r="61">
      <c r="A61" s="28">
        <v>12.0</v>
      </c>
      <c r="B61" s="25" t="s">
        <v>56</v>
      </c>
      <c r="C61" s="41">
        <v>617.0</v>
      </c>
      <c r="D61" s="30" t="s">
        <v>164</v>
      </c>
      <c r="E61" s="31">
        <v>26500.0</v>
      </c>
      <c r="F61" s="30" t="s">
        <v>120</v>
      </c>
      <c r="G61" s="43" t="s">
        <v>121</v>
      </c>
      <c r="H61" s="25" t="s">
        <v>165</v>
      </c>
      <c r="I61" s="25" t="s">
        <v>166</v>
      </c>
      <c r="J61" s="23"/>
      <c r="K61" s="24">
        <v>100000.0</v>
      </c>
      <c r="L61" s="30" t="s">
        <v>167</v>
      </c>
      <c r="M61" s="47">
        <v>10000.0</v>
      </c>
      <c r="N61" s="30" t="s">
        <v>168</v>
      </c>
      <c r="O61" s="26" t="s">
        <v>169</v>
      </c>
      <c r="P61" s="35">
        <v>45971.0</v>
      </c>
    </row>
    <row r="62">
      <c r="A62" s="20"/>
      <c r="B62" s="25" t="s">
        <v>56</v>
      </c>
      <c r="C62" s="22">
        <v>0.0</v>
      </c>
      <c r="D62" s="22">
        <v>0.0</v>
      </c>
      <c r="E62" s="22">
        <v>0.0</v>
      </c>
      <c r="F62" s="23"/>
      <c r="G62" s="23"/>
      <c r="H62" s="23"/>
      <c r="I62" s="23"/>
      <c r="J62" s="23"/>
      <c r="K62" s="24">
        <v>100000.0</v>
      </c>
      <c r="L62" s="30" t="s">
        <v>167</v>
      </c>
      <c r="M62" s="47" t="s">
        <v>13</v>
      </c>
      <c r="N62" s="23"/>
      <c r="O62" s="26" t="s">
        <v>170</v>
      </c>
      <c r="P62" s="27"/>
    </row>
    <row r="63">
      <c r="A63" s="20"/>
      <c r="B63" s="21">
        <v>45974.0</v>
      </c>
      <c r="C63" s="22">
        <v>0.0</v>
      </c>
      <c r="D63" s="22">
        <v>0.0</v>
      </c>
      <c r="E63" s="22">
        <v>0.0</v>
      </c>
      <c r="F63" s="23"/>
      <c r="G63" s="23"/>
      <c r="H63" s="23"/>
      <c r="I63" s="23"/>
      <c r="J63" s="23"/>
      <c r="K63" s="24">
        <v>2107200.0</v>
      </c>
      <c r="L63" s="30" t="s">
        <v>167</v>
      </c>
      <c r="M63" s="47" t="s">
        <v>13</v>
      </c>
      <c r="N63" s="23"/>
      <c r="O63" s="26" t="s">
        <v>171</v>
      </c>
      <c r="P63" s="27"/>
    </row>
    <row r="64">
      <c r="A64" s="28">
        <v>13.0</v>
      </c>
      <c r="B64" s="25" t="s">
        <v>56</v>
      </c>
      <c r="C64" s="41">
        <v>613.0</v>
      </c>
      <c r="D64" s="30" t="s">
        <v>172</v>
      </c>
      <c r="E64" s="31">
        <v>26300.0</v>
      </c>
      <c r="F64" s="30" t="s">
        <v>120</v>
      </c>
      <c r="G64" s="43" t="s">
        <v>121</v>
      </c>
      <c r="H64" s="25" t="s">
        <v>165</v>
      </c>
      <c r="I64" s="25" t="s">
        <v>166</v>
      </c>
      <c r="J64" s="23"/>
      <c r="K64" s="24">
        <v>200000.0</v>
      </c>
      <c r="L64" s="30" t="s">
        <v>173</v>
      </c>
      <c r="M64" s="23"/>
      <c r="N64" s="34" t="s">
        <v>174</v>
      </c>
      <c r="O64" s="26" t="s">
        <v>175</v>
      </c>
      <c r="P64" s="35">
        <v>45971.0</v>
      </c>
    </row>
    <row r="65">
      <c r="A65" s="20"/>
      <c r="B65" s="21">
        <v>45974.0</v>
      </c>
      <c r="C65" s="22">
        <v>0.0</v>
      </c>
      <c r="D65" s="22">
        <v>0.0</v>
      </c>
      <c r="E65" s="22">
        <v>0.0</v>
      </c>
      <c r="F65" s="23"/>
      <c r="G65" s="23"/>
      <c r="H65" s="23"/>
      <c r="I65" s="23"/>
      <c r="J65" s="23"/>
      <c r="K65" s="24">
        <v>2500000.0</v>
      </c>
      <c r="L65" s="30" t="s">
        <v>173</v>
      </c>
      <c r="M65" s="25" t="s">
        <v>78</v>
      </c>
      <c r="N65" s="34">
        <v>0.0</v>
      </c>
      <c r="O65" s="26" t="s">
        <v>176</v>
      </c>
      <c r="P65" s="39"/>
    </row>
    <row r="66">
      <c r="A66" s="28">
        <v>14.0</v>
      </c>
      <c r="B66" s="25" t="s">
        <v>56</v>
      </c>
      <c r="C66" s="25">
        <v>554.0</v>
      </c>
      <c r="D66" s="30" t="s">
        <v>177</v>
      </c>
      <c r="E66" s="31">
        <v>26500.0</v>
      </c>
      <c r="F66" s="30" t="s">
        <v>178</v>
      </c>
      <c r="G66" s="23"/>
      <c r="H66" s="23"/>
      <c r="I66" s="23"/>
      <c r="J66" s="23"/>
      <c r="K66" s="24">
        <v>121000.0</v>
      </c>
      <c r="L66" s="46" t="s">
        <v>179</v>
      </c>
      <c r="M66" s="23"/>
      <c r="N66" s="34" t="s">
        <v>180</v>
      </c>
      <c r="O66" s="26" t="s">
        <v>181</v>
      </c>
      <c r="P66" s="35">
        <v>45972.0</v>
      </c>
    </row>
    <row r="67">
      <c r="A67" s="28">
        <v>15.0</v>
      </c>
      <c r="B67" s="25" t="s">
        <v>182</v>
      </c>
      <c r="C67" s="41">
        <v>585.0</v>
      </c>
      <c r="D67" s="30" t="s">
        <v>183</v>
      </c>
      <c r="E67" s="31">
        <v>26300.0</v>
      </c>
      <c r="F67" s="30" t="s">
        <v>184</v>
      </c>
      <c r="G67" s="23"/>
      <c r="H67" s="25" t="s">
        <v>185</v>
      </c>
      <c r="I67" s="23"/>
      <c r="J67" s="23"/>
      <c r="K67" s="24">
        <v>100000.0</v>
      </c>
      <c r="L67" s="30" t="s">
        <v>186</v>
      </c>
      <c r="M67" s="23"/>
      <c r="N67" s="43" t="s">
        <v>187</v>
      </c>
      <c r="O67" s="26" t="s">
        <v>188</v>
      </c>
      <c r="P67" s="35">
        <v>45975.0</v>
      </c>
    </row>
    <row r="68">
      <c r="A68" s="20"/>
      <c r="B68" s="25" t="s">
        <v>182</v>
      </c>
      <c r="C68" s="22">
        <v>0.0</v>
      </c>
      <c r="D68" s="22">
        <v>0.0</v>
      </c>
      <c r="E68" s="22">
        <v>0.0</v>
      </c>
      <c r="F68" s="23"/>
      <c r="G68" s="23"/>
      <c r="H68" s="23"/>
      <c r="I68" s="23"/>
      <c r="J68" s="23"/>
      <c r="K68" s="24">
        <v>100000.0</v>
      </c>
      <c r="L68" s="30" t="s">
        <v>186</v>
      </c>
      <c r="M68" s="23"/>
      <c r="N68" s="48" t="s">
        <v>189</v>
      </c>
      <c r="O68" s="26" t="s">
        <v>188</v>
      </c>
      <c r="P68" s="39"/>
    </row>
    <row r="69">
      <c r="A69" s="20"/>
      <c r="B69" s="49">
        <v>45971.0</v>
      </c>
      <c r="C69" s="22">
        <v>0.0</v>
      </c>
      <c r="D69" s="22">
        <v>0.0</v>
      </c>
      <c r="E69" s="22">
        <v>0.0</v>
      </c>
      <c r="F69" s="23"/>
      <c r="G69" s="23"/>
      <c r="H69" s="23"/>
      <c r="I69" s="23"/>
      <c r="J69" s="23"/>
      <c r="K69" s="50">
        <v>40000.0</v>
      </c>
      <c r="L69" s="30" t="s">
        <v>186</v>
      </c>
      <c r="M69" s="23"/>
      <c r="N69" s="34" t="s">
        <v>190</v>
      </c>
      <c r="O69" s="26" t="s">
        <v>191</v>
      </c>
      <c r="P69" s="39"/>
    </row>
    <row r="70">
      <c r="A70" s="20"/>
      <c r="B70" s="21">
        <v>45973.0</v>
      </c>
      <c r="C70" s="22">
        <v>0.0</v>
      </c>
      <c r="D70" s="22">
        <v>0.0</v>
      </c>
      <c r="E70" s="22">
        <v>0.0</v>
      </c>
      <c r="F70" s="23"/>
      <c r="G70" s="23"/>
      <c r="H70" s="23"/>
      <c r="I70" s="23"/>
      <c r="J70" s="23"/>
      <c r="K70" s="24">
        <v>600000.0</v>
      </c>
      <c r="L70" s="30" t="s">
        <v>186</v>
      </c>
      <c r="M70" s="23"/>
      <c r="N70" s="34" t="s">
        <v>192</v>
      </c>
      <c r="O70" s="26" t="s">
        <v>191</v>
      </c>
      <c r="P70" s="39"/>
    </row>
    <row r="71">
      <c r="A71" s="20"/>
      <c r="B71" s="21">
        <v>45973.0</v>
      </c>
      <c r="C71" s="22">
        <v>0.0</v>
      </c>
      <c r="D71" s="22">
        <v>0.0</v>
      </c>
      <c r="E71" s="22">
        <v>0.0</v>
      </c>
      <c r="F71" s="23"/>
      <c r="G71" s="23"/>
      <c r="H71" s="23"/>
      <c r="I71" s="23"/>
      <c r="J71" s="23"/>
      <c r="K71" s="24">
        <v>300000.0</v>
      </c>
      <c r="L71" s="30" t="s">
        <v>186</v>
      </c>
      <c r="M71" s="23"/>
      <c r="N71" s="34" t="s">
        <v>193</v>
      </c>
      <c r="O71" s="26" t="s">
        <v>191</v>
      </c>
      <c r="P71" s="39"/>
    </row>
    <row r="72">
      <c r="A72" s="51">
        <v>16.0</v>
      </c>
      <c r="B72" s="52" t="s">
        <v>194</v>
      </c>
      <c r="C72" s="53">
        <v>553.0</v>
      </c>
      <c r="D72" s="32">
        <v>183.36</v>
      </c>
      <c r="E72" s="54">
        <v>26300.0</v>
      </c>
      <c r="F72" s="52" t="s">
        <v>120</v>
      </c>
      <c r="G72" s="37"/>
      <c r="H72" s="52" t="s">
        <v>195</v>
      </c>
      <c r="I72" s="37"/>
      <c r="J72" s="37"/>
      <c r="K72" s="24">
        <v>100000.0</v>
      </c>
      <c r="L72" s="32" t="s">
        <v>196</v>
      </c>
      <c r="M72" s="52" t="s">
        <v>13</v>
      </c>
      <c r="N72" s="37"/>
      <c r="O72" s="55" t="s">
        <v>197</v>
      </c>
      <c r="P72" s="35">
        <v>45976.0</v>
      </c>
    </row>
    <row r="73">
      <c r="A73" s="56"/>
      <c r="B73" s="52" t="s">
        <v>198</v>
      </c>
      <c r="C73" s="22">
        <v>0.0</v>
      </c>
      <c r="D73" s="22">
        <v>0.0</v>
      </c>
      <c r="E73" s="22">
        <v>0.0</v>
      </c>
      <c r="F73" s="37"/>
      <c r="G73" s="37"/>
      <c r="H73" s="37"/>
      <c r="I73" s="37"/>
      <c r="J73" s="37"/>
      <c r="K73" s="24">
        <v>100000.0</v>
      </c>
      <c r="L73" s="32" t="s">
        <v>196</v>
      </c>
      <c r="M73" s="52" t="s">
        <v>13</v>
      </c>
      <c r="N73" s="37"/>
      <c r="O73" s="55" t="s">
        <v>199</v>
      </c>
      <c r="P73" s="27"/>
    </row>
    <row r="74">
      <c r="A74" s="56"/>
      <c r="B74" s="52" t="s">
        <v>158</v>
      </c>
      <c r="C74" s="22">
        <v>0.0</v>
      </c>
      <c r="D74" s="22">
        <v>0.0</v>
      </c>
      <c r="E74" s="22">
        <v>0.0</v>
      </c>
      <c r="F74" s="37"/>
      <c r="G74" s="37"/>
      <c r="H74" s="37"/>
      <c r="I74" s="37"/>
      <c r="J74" s="37"/>
      <c r="K74" s="24">
        <v>700000.0</v>
      </c>
      <c r="L74" s="32" t="s">
        <v>196</v>
      </c>
      <c r="M74" s="52" t="s">
        <v>13</v>
      </c>
      <c r="N74" s="37"/>
      <c r="O74" s="55" t="s">
        <v>200</v>
      </c>
      <c r="P74" s="27"/>
    </row>
    <row r="75">
      <c r="A75" s="56"/>
      <c r="B75" s="52" t="s">
        <v>158</v>
      </c>
      <c r="C75" s="22">
        <v>0.0</v>
      </c>
      <c r="D75" s="22">
        <v>0.0</v>
      </c>
      <c r="E75" s="22">
        <v>0.0</v>
      </c>
      <c r="F75" s="37"/>
      <c r="G75" s="37"/>
      <c r="H75" s="37"/>
      <c r="I75" s="37"/>
      <c r="J75" s="37"/>
      <c r="K75" s="24">
        <v>500000.0</v>
      </c>
      <c r="L75" s="32" t="s">
        <v>196</v>
      </c>
      <c r="M75" s="52" t="s">
        <v>13</v>
      </c>
      <c r="N75" s="37"/>
      <c r="O75" s="55" t="s">
        <v>201</v>
      </c>
      <c r="P75" s="27"/>
    </row>
    <row r="76">
      <c r="A76" s="56"/>
      <c r="B76" s="52" t="s">
        <v>158</v>
      </c>
      <c r="C76" s="22">
        <v>0.0</v>
      </c>
      <c r="D76" s="22">
        <v>0.0</v>
      </c>
      <c r="E76" s="22">
        <v>0.0</v>
      </c>
      <c r="F76" s="37"/>
      <c r="G76" s="37"/>
      <c r="H76" s="37"/>
      <c r="I76" s="37"/>
      <c r="J76" s="37"/>
      <c r="K76" s="24">
        <v>200000.0</v>
      </c>
      <c r="L76" s="32" t="s">
        <v>196</v>
      </c>
      <c r="M76" s="37"/>
      <c r="N76" s="32" t="s">
        <v>202</v>
      </c>
      <c r="O76" s="55" t="s">
        <v>203</v>
      </c>
      <c r="P76" s="27"/>
    </row>
    <row r="77">
      <c r="A77" s="57">
        <v>17.0</v>
      </c>
      <c r="B77" s="36">
        <v>45931.0</v>
      </c>
      <c r="C77" s="52">
        <v>515.0</v>
      </c>
      <c r="D77" s="37"/>
      <c r="E77" s="37"/>
      <c r="F77" s="37"/>
      <c r="G77" s="37"/>
      <c r="H77" s="37"/>
      <c r="I77" s="37"/>
      <c r="J77" s="37"/>
      <c r="K77" s="58"/>
      <c r="L77" s="32" t="s">
        <v>204</v>
      </c>
      <c r="M77" s="23"/>
      <c r="N77" s="23"/>
      <c r="O77" s="59"/>
      <c r="P77" s="27"/>
    </row>
    <row r="78">
      <c r="A78" s="57">
        <v>18.0</v>
      </c>
      <c r="B78" s="36">
        <v>45931.0</v>
      </c>
      <c r="C78" s="52">
        <v>510.0</v>
      </c>
      <c r="D78" s="37"/>
      <c r="E78" s="37"/>
      <c r="F78" s="37"/>
      <c r="G78" s="37"/>
      <c r="H78" s="37"/>
      <c r="I78" s="37"/>
      <c r="J78" s="37"/>
      <c r="K78" s="58"/>
      <c r="L78" s="32" t="s">
        <v>205</v>
      </c>
      <c r="M78" s="23"/>
      <c r="N78" s="23"/>
      <c r="O78" s="59"/>
      <c r="P78" s="27"/>
    </row>
    <row r="79">
      <c r="A79" s="60">
        <v>19.0</v>
      </c>
      <c r="B79" s="36">
        <v>45931.0</v>
      </c>
      <c r="C79" s="52">
        <v>596.0</v>
      </c>
      <c r="D79" s="37"/>
      <c r="E79" s="37"/>
      <c r="F79" s="37"/>
      <c r="G79" s="37"/>
      <c r="H79" s="37"/>
      <c r="I79" s="37"/>
      <c r="J79" s="37"/>
      <c r="K79" s="58"/>
      <c r="L79" s="32" t="s">
        <v>206</v>
      </c>
      <c r="M79" s="37"/>
      <c r="N79" s="37"/>
      <c r="O79" s="59"/>
      <c r="P79" s="27"/>
    </row>
    <row r="80">
      <c r="A80" s="60">
        <v>20.0</v>
      </c>
      <c r="B80" s="36">
        <v>45931.0</v>
      </c>
      <c r="C80" s="52">
        <v>425.0</v>
      </c>
      <c r="D80" s="37"/>
      <c r="E80" s="37"/>
      <c r="F80" s="37"/>
      <c r="G80" s="37"/>
      <c r="H80" s="37"/>
      <c r="I80" s="37"/>
      <c r="J80" s="37"/>
      <c r="K80" s="58"/>
      <c r="L80" s="32" t="s">
        <v>207</v>
      </c>
      <c r="M80" s="37"/>
      <c r="N80" s="37"/>
      <c r="O80" s="59"/>
      <c r="P80" s="27"/>
    </row>
    <row r="81">
      <c r="A81" s="60">
        <v>21.0</v>
      </c>
      <c r="B81" s="36">
        <v>45931.0</v>
      </c>
      <c r="C81" s="52">
        <v>415.0</v>
      </c>
      <c r="D81" s="37"/>
      <c r="E81" s="37"/>
      <c r="F81" s="37"/>
      <c r="G81" s="37"/>
      <c r="H81" s="37"/>
      <c r="I81" s="37"/>
      <c r="J81" s="37"/>
      <c r="K81" s="58"/>
      <c r="L81" s="32" t="s">
        <v>208</v>
      </c>
      <c r="M81" s="37"/>
      <c r="N81" s="23"/>
      <c r="O81" s="59"/>
      <c r="P81" s="39"/>
    </row>
    <row r="82">
      <c r="A82" s="60">
        <v>22.0</v>
      </c>
      <c r="B82" s="36">
        <v>45931.0</v>
      </c>
      <c r="C82" s="52">
        <v>504.0</v>
      </c>
      <c r="D82" s="37"/>
      <c r="E82" s="37"/>
      <c r="F82" s="37"/>
      <c r="G82" s="37"/>
      <c r="H82" s="37"/>
      <c r="I82" s="37"/>
      <c r="J82" s="37"/>
      <c r="K82" s="58"/>
      <c r="L82" s="32" t="s">
        <v>209</v>
      </c>
      <c r="M82" s="37"/>
      <c r="N82" s="23"/>
      <c r="O82" s="59"/>
      <c r="P82" s="39"/>
    </row>
    <row r="83">
      <c r="A83" s="60">
        <v>23.0</v>
      </c>
      <c r="B83" s="36">
        <v>45931.0</v>
      </c>
      <c r="C83" s="52">
        <v>505.0</v>
      </c>
      <c r="D83" s="37"/>
      <c r="E83" s="37"/>
      <c r="F83" s="37"/>
      <c r="G83" s="37"/>
      <c r="H83" s="37"/>
      <c r="I83" s="37"/>
      <c r="J83" s="37"/>
      <c r="K83" s="58"/>
      <c r="L83" s="32" t="s">
        <v>210</v>
      </c>
      <c r="M83" s="37"/>
      <c r="N83" s="23"/>
      <c r="O83" s="59"/>
      <c r="P83" s="39"/>
    </row>
    <row r="84">
      <c r="A84" s="60">
        <v>24.0</v>
      </c>
      <c r="B84" s="36">
        <v>45931.0</v>
      </c>
      <c r="C84" s="52">
        <v>506.0</v>
      </c>
      <c r="D84" s="37"/>
      <c r="E84" s="37"/>
      <c r="F84" s="37"/>
      <c r="G84" s="37"/>
      <c r="H84" s="37"/>
      <c r="I84" s="37"/>
      <c r="J84" s="37"/>
      <c r="K84" s="58"/>
      <c r="L84" s="32" t="s">
        <v>211</v>
      </c>
      <c r="M84" s="37"/>
      <c r="N84" s="23"/>
      <c r="O84" s="59"/>
      <c r="P84" s="39"/>
    </row>
    <row r="85">
      <c r="A85" s="60">
        <v>25.0</v>
      </c>
      <c r="B85" s="36">
        <v>45931.0</v>
      </c>
      <c r="C85" s="52">
        <v>509.0</v>
      </c>
      <c r="D85" s="37"/>
      <c r="E85" s="37"/>
      <c r="F85" s="37"/>
      <c r="G85" s="37"/>
      <c r="H85" s="37"/>
      <c r="I85" s="37"/>
      <c r="J85" s="37"/>
      <c r="K85" s="58"/>
      <c r="L85" s="32" t="s">
        <v>212</v>
      </c>
      <c r="M85" s="37"/>
      <c r="N85" s="23"/>
      <c r="O85" s="59"/>
      <c r="P85" s="39"/>
    </row>
    <row r="86">
      <c r="A86" s="60">
        <v>26.0</v>
      </c>
      <c r="B86" s="52" t="s">
        <v>198</v>
      </c>
      <c r="C86" s="52">
        <v>62.0</v>
      </c>
      <c r="D86" s="52">
        <v>220.06</v>
      </c>
      <c r="E86" s="52">
        <v>26300.0</v>
      </c>
      <c r="F86" s="52" t="s">
        <v>120</v>
      </c>
      <c r="G86" s="52" t="s">
        <v>213</v>
      </c>
      <c r="H86" s="52" t="s">
        <v>214</v>
      </c>
      <c r="I86" s="37"/>
      <c r="J86" s="37"/>
      <c r="K86" s="24">
        <v>50000.0</v>
      </c>
      <c r="L86" s="32" t="s">
        <v>215</v>
      </c>
      <c r="M86" s="37"/>
      <c r="N86" s="52" t="s">
        <v>216</v>
      </c>
      <c r="O86" s="55" t="s">
        <v>217</v>
      </c>
      <c r="P86" s="35">
        <v>45978.0</v>
      </c>
    </row>
    <row r="87">
      <c r="A87" s="60">
        <v>27.0</v>
      </c>
      <c r="B87" s="52" t="s">
        <v>198</v>
      </c>
      <c r="C87" s="52">
        <v>61.0</v>
      </c>
      <c r="D87" s="52">
        <v>220.06</v>
      </c>
      <c r="E87" s="52">
        <v>26300.0</v>
      </c>
      <c r="F87" s="52" t="s">
        <v>120</v>
      </c>
      <c r="G87" s="52" t="s">
        <v>213</v>
      </c>
      <c r="H87" s="52" t="s">
        <v>214</v>
      </c>
      <c r="I87" s="37"/>
      <c r="J87" s="37"/>
      <c r="K87" s="24">
        <v>50000.0</v>
      </c>
      <c r="L87" s="32" t="s">
        <v>218</v>
      </c>
      <c r="M87" s="37"/>
      <c r="N87" s="52" t="s">
        <v>216</v>
      </c>
      <c r="O87" s="55" t="s">
        <v>219</v>
      </c>
      <c r="P87" s="35">
        <v>45978.0</v>
      </c>
    </row>
    <row r="88">
      <c r="A88" s="60">
        <v>28.0</v>
      </c>
      <c r="B88" s="52" t="s">
        <v>198</v>
      </c>
      <c r="C88" s="52">
        <v>60.0</v>
      </c>
      <c r="D88" s="52">
        <v>220.06</v>
      </c>
      <c r="E88" s="52">
        <v>26300.0</v>
      </c>
      <c r="F88" s="52" t="s">
        <v>120</v>
      </c>
      <c r="G88" s="52" t="s">
        <v>213</v>
      </c>
      <c r="H88" s="52" t="s">
        <v>214</v>
      </c>
      <c r="I88" s="37"/>
      <c r="J88" s="37"/>
      <c r="K88" s="24">
        <v>10000.0</v>
      </c>
      <c r="L88" s="32" t="s">
        <v>220</v>
      </c>
      <c r="M88" s="37"/>
      <c r="N88" s="52" t="s">
        <v>216</v>
      </c>
      <c r="O88" s="55" t="s">
        <v>221</v>
      </c>
      <c r="P88" s="35">
        <v>45978.0</v>
      </c>
    </row>
    <row r="89">
      <c r="A89" s="60">
        <v>29.0</v>
      </c>
      <c r="B89" s="52" t="s">
        <v>222</v>
      </c>
      <c r="C89" s="53">
        <v>484.0</v>
      </c>
      <c r="D89" s="52" t="s">
        <v>153</v>
      </c>
      <c r="E89" s="52">
        <v>26300.0</v>
      </c>
      <c r="F89" s="52" t="s">
        <v>120</v>
      </c>
      <c r="G89" s="32" t="s">
        <v>223</v>
      </c>
      <c r="H89" s="52" t="s">
        <v>224</v>
      </c>
      <c r="I89" s="37"/>
      <c r="J89" s="52" t="s">
        <v>225</v>
      </c>
      <c r="K89" s="24">
        <f>200000</f>
        <v>200000</v>
      </c>
      <c r="L89" s="32" t="s">
        <v>226</v>
      </c>
      <c r="M89" s="52" t="s">
        <v>13</v>
      </c>
      <c r="N89" s="37"/>
      <c r="O89" s="55" t="s">
        <v>227</v>
      </c>
      <c r="P89" s="35">
        <v>45979.0</v>
      </c>
    </row>
    <row r="90">
      <c r="A90" s="56"/>
      <c r="B90" s="36">
        <v>45986.0</v>
      </c>
      <c r="C90" s="22">
        <v>0.0</v>
      </c>
      <c r="D90" s="22">
        <v>0.0</v>
      </c>
      <c r="E90" s="22">
        <v>0.0</v>
      </c>
      <c r="F90" s="37"/>
      <c r="G90" s="37"/>
      <c r="H90" s="37"/>
      <c r="I90" s="37"/>
      <c r="J90" s="37"/>
      <c r="K90" s="24">
        <v>400000.0</v>
      </c>
      <c r="L90" s="32" t="s">
        <v>226</v>
      </c>
      <c r="M90" s="52" t="s">
        <v>13</v>
      </c>
      <c r="N90" s="37"/>
      <c r="O90" s="55" t="s">
        <v>228</v>
      </c>
      <c r="P90" s="39"/>
    </row>
    <row r="91">
      <c r="A91" s="56"/>
      <c r="B91" s="36">
        <v>45986.0</v>
      </c>
      <c r="C91" s="22">
        <v>0.0</v>
      </c>
      <c r="D91" s="22">
        <v>0.0</v>
      </c>
      <c r="E91" s="22">
        <v>0.0</v>
      </c>
      <c r="F91" s="37"/>
      <c r="G91" s="37"/>
      <c r="H91" s="37"/>
      <c r="I91" s="37"/>
      <c r="J91" s="37"/>
      <c r="K91" s="24">
        <v>11184.0</v>
      </c>
      <c r="L91" s="32" t="s">
        <v>226</v>
      </c>
      <c r="M91" s="52">
        <v>0.0</v>
      </c>
      <c r="N91" s="52" t="s">
        <v>229</v>
      </c>
      <c r="O91" s="55" t="s">
        <v>230</v>
      </c>
      <c r="P91" s="39"/>
    </row>
    <row r="92">
      <c r="A92" s="56"/>
      <c r="B92" s="36">
        <v>45986.0</v>
      </c>
      <c r="C92" s="22">
        <v>0.0</v>
      </c>
      <c r="D92" s="22">
        <v>0.0</v>
      </c>
      <c r="E92" s="22">
        <v>0.0</v>
      </c>
      <c r="F92" s="37"/>
      <c r="G92" s="37"/>
      <c r="H92" s="37"/>
      <c r="I92" s="37"/>
      <c r="J92" s="37"/>
      <c r="K92" s="24">
        <v>550000.0</v>
      </c>
      <c r="L92" s="32" t="s">
        <v>226</v>
      </c>
      <c r="M92" s="52">
        <v>0.0</v>
      </c>
      <c r="N92" s="52" t="s">
        <v>231</v>
      </c>
      <c r="O92" s="55" t="s">
        <v>232</v>
      </c>
      <c r="P92" s="39"/>
    </row>
    <row r="93">
      <c r="A93" s="60">
        <v>30.0</v>
      </c>
      <c r="B93" s="52" t="s">
        <v>222</v>
      </c>
      <c r="C93" s="53">
        <v>485.0</v>
      </c>
      <c r="D93" s="52" t="s">
        <v>153</v>
      </c>
      <c r="E93" s="52">
        <v>26300.0</v>
      </c>
      <c r="F93" s="52" t="s">
        <v>120</v>
      </c>
      <c r="G93" s="32" t="s">
        <v>223</v>
      </c>
      <c r="H93" s="52" t="s">
        <v>224</v>
      </c>
      <c r="I93" s="37"/>
      <c r="J93" s="52" t="s">
        <v>225</v>
      </c>
      <c r="K93" s="24">
        <f>200000</f>
        <v>200000</v>
      </c>
      <c r="L93" s="32" t="s">
        <v>226</v>
      </c>
      <c r="M93" s="52" t="s">
        <v>13</v>
      </c>
      <c r="N93" s="37"/>
      <c r="O93" s="55" t="s">
        <v>227</v>
      </c>
      <c r="P93" s="35">
        <v>45979.0</v>
      </c>
    </row>
    <row r="94">
      <c r="A94" s="56"/>
      <c r="B94" s="36">
        <v>45986.0</v>
      </c>
      <c r="C94" s="22">
        <v>0.0</v>
      </c>
      <c r="D94" s="22">
        <v>0.0</v>
      </c>
      <c r="E94" s="22">
        <v>0.0</v>
      </c>
      <c r="F94" s="37"/>
      <c r="G94" s="37"/>
      <c r="H94" s="37"/>
      <c r="I94" s="37"/>
      <c r="J94" s="37"/>
      <c r="K94" s="24">
        <v>1000000.0</v>
      </c>
      <c r="L94" s="32" t="s">
        <v>226</v>
      </c>
      <c r="M94" s="52" t="s">
        <v>13</v>
      </c>
      <c r="N94" s="37"/>
      <c r="O94" s="55" t="s">
        <v>129</v>
      </c>
      <c r="P94" s="39"/>
    </row>
    <row r="95">
      <c r="A95" s="56"/>
      <c r="B95" s="36">
        <v>45986.0</v>
      </c>
      <c r="C95" s="22">
        <v>0.0</v>
      </c>
      <c r="D95" s="22">
        <v>0.0</v>
      </c>
      <c r="E95" s="22">
        <v>0.0</v>
      </c>
      <c r="F95" s="37"/>
      <c r="G95" s="37"/>
      <c r="H95" s="37"/>
      <c r="I95" s="37"/>
      <c r="J95" s="37"/>
      <c r="K95" s="24">
        <v>50000.0</v>
      </c>
      <c r="L95" s="32" t="s">
        <v>226</v>
      </c>
      <c r="M95" s="52">
        <v>0.0</v>
      </c>
      <c r="N95" s="52" t="s">
        <v>233</v>
      </c>
      <c r="O95" s="55" t="s">
        <v>234</v>
      </c>
      <c r="P95" s="39"/>
    </row>
    <row r="96">
      <c r="A96" s="60">
        <v>31.0</v>
      </c>
      <c r="B96" s="52" t="s">
        <v>222</v>
      </c>
      <c r="C96" s="53">
        <v>525.0</v>
      </c>
      <c r="D96" s="52" t="s">
        <v>235</v>
      </c>
      <c r="E96" s="52">
        <v>26300.0</v>
      </c>
      <c r="F96" s="52" t="s">
        <v>120</v>
      </c>
      <c r="G96" s="32" t="s">
        <v>223</v>
      </c>
      <c r="H96" s="52" t="s">
        <v>224</v>
      </c>
      <c r="I96" s="37"/>
      <c r="J96" s="52" t="s">
        <v>225</v>
      </c>
      <c r="K96" s="24">
        <v>50000.0</v>
      </c>
      <c r="L96" s="32" t="s">
        <v>226</v>
      </c>
      <c r="M96" s="52">
        <v>0.0</v>
      </c>
      <c r="N96" s="52" t="s">
        <v>236</v>
      </c>
      <c r="O96" s="55" t="s">
        <v>227</v>
      </c>
      <c r="P96" s="35">
        <v>45979.0</v>
      </c>
    </row>
    <row r="97">
      <c r="A97" s="56"/>
      <c r="B97" s="36">
        <v>45985.0</v>
      </c>
      <c r="C97" s="22">
        <v>0.0</v>
      </c>
      <c r="D97" s="22">
        <v>0.0</v>
      </c>
      <c r="E97" s="22">
        <v>0.0</v>
      </c>
      <c r="F97" s="37"/>
      <c r="G97" s="37"/>
      <c r="H97" s="37"/>
      <c r="I97" s="37"/>
      <c r="J97" s="37"/>
      <c r="K97" s="24">
        <v>50000.0</v>
      </c>
      <c r="L97" s="32" t="s">
        <v>226</v>
      </c>
      <c r="M97" s="37"/>
      <c r="N97" s="52" t="s">
        <v>237</v>
      </c>
      <c r="O97" s="55" t="s">
        <v>238</v>
      </c>
      <c r="P97" s="39"/>
    </row>
    <row r="98">
      <c r="A98" s="56"/>
      <c r="B98" s="36">
        <v>45985.0</v>
      </c>
      <c r="C98" s="22">
        <v>0.0</v>
      </c>
      <c r="D98" s="22">
        <v>0.0</v>
      </c>
      <c r="E98" s="22">
        <v>0.0</v>
      </c>
      <c r="F98" s="37"/>
      <c r="G98" s="37"/>
      <c r="H98" s="37"/>
      <c r="I98" s="37"/>
      <c r="J98" s="37"/>
      <c r="K98" s="24">
        <v>200000.0</v>
      </c>
      <c r="L98" s="32" t="s">
        <v>226</v>
      </c>
      <c r="M98" s="52">
        <v>0.0</v>
      </c>
      <c r="N98" s="52" t="s">
        <v>239</v>
      </c>
      <c r="O98" s="55" t="s">
        <v>240</v>
      </c>
      <c r="P98" s="39"/>
    </row>
    <row r="99">
      <c r="A99" s="56"/>
      <c r="B99" s="36">
        <v>45986.0</v>
      </c>
      <c r="C99" s="22">
        <v>0.0</v>
      </c>
      <c r="D99" s="22">
        <v>0.0</v>
      </c>
      <c r="E99" s="22">
        <v>0.0</v>
      </c>
      <c r="F99" s="37"/>
      <c r="G99" s="37"/>
      <c r="H99" s="37"/>
      <c r="I99" s="37"/>
      <c r="J99" s="37"/>
      <c r="K99" s="24">
        <v>50000.0</v>
      </c>
      <c r="L99" s="32" t="s">
        <v>226</v>
      </c>
      <c r="M99" s="52" t="s">
        <v>78</v>
      </c>
      <c r="N99" s="52">
        <v>0.0</v>
      </c>
      <c r="O99" s="55" t="s">
        <v>241</v>
      </c>
      <c r="P99" s="39"/>
    </row>
    <row r="100">
      <c r="A100" s="56"/>
      <c r="B100" s="36">
        <v>45988.0</v>
      </c>
      <c r="C100" s="22">
        <v>0.0</v>
      </c>
      <c r="D100" s="22">
        <v>0.0</v>
      </c>
      <c r="E100" s="22">
        <v>0.0</v>
      </c>
      <c r="F100" s="37"/>
      <c r="G100" s="37"/>
      <c r="H100" s="37"/>
      <c r="I100" s="37"/>
      <c r="J100" s="37"/>
      <c r="K100" s="24">
        <v>850000.0</v>
      </c>
      <c r="L100" s="32" t="s">
        <v>226</v>
      </c>
      <c r="M100" s="52" t="s">
        <v>78</v>
      </c>
      <c r="N100" s="52">
        <v>0.0</v>
      </c>
      <c r="O100" s="55" t="s">
        <v>242</v>
      </c>
      <c r="P100" s="39"/>
    </row>
    <row r="101">
      <c r="A101" s="56"/>
      <c r="B101" s="36">
        <v>45988.0</v>
      </c>
      <c r="C101" s="22">
        <v>0.0</v>
      </c>
      <c r="D101" s="22">
        <v>0.0</v>
      </c>
      <c r="E101" s="22">
        <v>0.0</v>
      </c>
      <c r="F101" s="37"/>
      <c r="G101" s="37"/>
      <c r="H101" s="37"/>
      <c r="I101" s="37"/>
      <c r="J101" s="37"/>
      <c r="K101" s="24">
        <v>5592.0</v>
      </c>
      <c r="L101" s="32" t="s">
        <v>226</v>
      </c>
      <c r="M101" s="52">
        <v>0.0</v>
      </c>
      <c r="N101" s="52" t="s">
        <v>243</v>
      </c>
      <c r="O101" s="55" t="s">
        <v>244</v>
      </c>
      <c r="P101" s="39"/>
    </row>
    <row r="102">
      <c r="A102" s="60">
        <v>32.0</v>
      </c>
      <c r="B102" s="52" t="s">
        <v>222</v>
      </c>
      <c r="C102" s="52">
        <v>491.0</v>
      </c>
      <c r="D102" s="52">
        <v>183.36</v>
      </c>
      <c r="E102" s="52">
        <v>25500.0</v>
      </c>
      <c r="F102" s="37"/>
      <c r="G102" s="37"/>
      <c r="H102" s="37"/>
      <c r="I102" s="37"/>
      <c r="J102" s="37"/>
      <c r="K102" s="24">
        <v>200000.0</v>
      </c>
      <c r="L102" s="32" t="s">
        <v>245</v>
      </c>
      <c r="M102" s="37"/>
      <c r="N102" s="52" t="s">
        <v>246</v>
      </c>
      <c r="O102" s="55" t="s">
        <v>247</v>
      </c>
      <c r="P102" s="35">
        <v>45979.0</v>
      </c>
    </row>
    <row r="103">
      <c r="A103" s="60">
        <v>33.0</v>
      </c>
      <c r="B103" s="36">
        <v>45968.0</v>
      </c>
      <c r="C103" s="53">
        <v>350.0</v>
      </c>
      <c r="D103" s="52" t="s">
        <v>135</v>
      </c>
      <c r="E103" s="52">
        <v>24000.0</v>
      </c>
      <c r="F103" s="37"/>
      <c r="G103" s="37"/>
      <c r="H103" s="37"/>
      <c r="I103" s="37"/>
      <c r="J103" s="37"/>
      <c r="K103" s="24">
        <f>1000000</f>
        <v>1000000</v>
      </c>
      <c r="L103" s="32" t="s">
        <v>248</v>
      </c>
      <c r="M103" s="52">
        <v>0.0</v>
      </c>
      <c r="N103" s="46" t="s">
        <v>249</v>
      </c>
      <c r="O103" s="61" t="s">
        <v>250</v>
      </c>
      <c r="P103" s="35">
        <v>45983.0</v>
      </c>
    </row>
    <row r="104">
      <c r="A104" s="56"/>
      <c r="B104" s="36">
        <v>45968.0</v>
      </c>
      <c r="C104" s="22">
        <v>0.0</v>
      </c>
      <c r="D104" s="22">
        <v>0.0</v>
      </c>
      <c r="E104" s="22">
        <v>0.0</v>
      </c>
      <c r="F104" s="37"/>
      <c r="G104" s="37"/>
      <c r="H104" s="37"/>
      <c r="I104" s="37"/>
      <c r="J104" s="37"/>
      <c r="K104" s="24">
        <v>800000.0</v>
      </c>
      <c r="L104" s="32" t="s">
        <v>248</v>
      </c>
      <c r="M104" s="52" t="s">
        <v>61</v>
      </c>
      <c r="N104" s="46">
        <v>0.0</v>
      </c>
      <c r="O104" s="61" t="s">
        <v>251</v>
      </c>
      <c r="P104" s="39"/>
    </row>
    <row r="105">
      <c r="A105" s="56"/>
      <c r="B105" s="36">
        <v>45968.0</v>
      </c>
      <c r="C105" s="22">
        <v>0.0</v>
      </c>
      <c r="D105" s="22">
        <v>0.0</v>
      </c>
      <c r="E105" s="22">
        <v>0.0</v>
      </c>
      <c r="F105" s="37"/>
      <c r="G105" s="37"/>
      <c r="H105" s="37"/>
      <c r="I105" s="37"/>
      <c r="J105" s="37"/>
      <c r="K105" s="24">
        <v>800000.0</v>
      </c>
      <c r="L105" s="32" t="s">
        <v>248</v>
      </c>
      <c r="M105" s="52" t="s">
        <v>61</v>
      </c>
      <c r="N105" s="46">
        <v>0.0</v>
      </c>
      <c r="O105" s="61" t="s">
        <v>252</v>
      </c>
      <c r="P105" s="39"/>
    </row>
    <row r="106">
      <c r="A106" s="60">
        <v>34.0</v>
      </c>
      <c r="B106" s="36">
        <v>45968.0</v>
      </c>
      <c r="C106" s="53">
        <v>351.0</v>
      </c>
      <c r="D106" s="62" t="s">
        <v>153</v>
      </c>
      <c r="E106" s="63">
        <v>24000.0</v>
      </c>
      <c r="F106" s="23"/>
      <c r="G106" s="23"/>
      <c r="H106" s="23"/>
      <c r="I106" s="23"/>
      <c r="J106" s="23"/>
      <c r="K106" s="24">
        <f>1000000</f>
        <v>1000000</v>
      </c>
      <c r="L106" s="32" t="s">
        <v>253</v>
      </c>
      <c r="M106" s="52">
        <v>0.0</v>
      </c>
      <c r="N106" s="46" t="s">
        <v>254</v>
      </c>
      <c r="O106" s="61" t="s">
        <v>255</v>
      </c>
      <c r="P106" s="35">
        <v>45983.0</v>
      </c>
    </row>
    <row r="107">
      <c r="A107" s="56"/>
      <c r="B107" s="64"/>
      <c r="C107" s="22">
        <v>0.0</v>
      </c>
      <c r="D107" s="22">
        <v>0.0</v>
      </c>
      <c r="E107" s="22">
        <v>0.0</v>
      </c>
      <c r="F107" s="23"/>
      <c r="G107" s="23"/>
      <c r="H107" s="23"/>
      <c r="I107" s="23"/>
      <c r="J107" s="23"/>
      <c r="K107" s="24">
        <v>600000.0</v>
      </c>
      <c r="L107" s="32" t="s">
        <v>253</v>
      </c>
      <c r="M107" s="52" t="s">
        <v>61</v>
      </c>
      <c r="N107" s="46">
        <v>0.0</v>
      </c>
      <c r="O107" s="61" t="s">
        <v>256</v>
      </c>
      <c r="P107" s="39"/>
    </row>
    <row r="108">
      <c r="A108" s="60">
        <v>35.0</v>
      </c>
      <c r="B108" s="36">
        <v>45968.0</v>
      </c>
      <c r="C108" s="53">
        <v>374.0</v>
      </c>
      <c r="D108" s="65" t="s">
        <v>153</v>
      </c>
      <c r="E108" s="66">
        <v>24000.0</v>
      </c>
      <c r="F108" s="23"/>
      <c r="G108" s="23"/>
      <c r="H108" s="23"/>
      <c r="I108" s="23"/>
      <c r="J108" s="23"/>
      <c r="K108" s="24">
        <v>1000000.0</v>
      </c>
      <c r="L108" s="32" t="s">
        <v>253</v>
      </c>
      <c r="M108" s="52" t="s">
        <v>61</v>
      </c>
      <c r="N108" s="23"/>
      <c r="O108" s="61" t="s">
        <v>257</v>
      </c>
      <c r="P108" s="35">
        <v>45983.0</v>
      </c>
    </row>
    <row r="109">
      <c r="A109" s="56"/>
      <c r="B109" s="64"/>
      <c r="C109" s="22">
        <v>0.0</v>
      </c>
      <c r="D109" s="22">
        <v>0.0</v>
      </c>
      <c r="E109" s="22">
        <v>0.0</v>
      </c>
      <c r="F109" s="23"/>
      <c r="G109" s="23"/>
      <c r="H109" s="23"/>
      <c r="I109" s="23"/>
      <c r="J109" s="23"/>
      <c r="K109" s="24">
        <v>700000.0</v>
      </c>
      <c r="L109" s="32" t="s">
        <v>253</v>
      </c>
      <c r="M109" s="52" t="s">
        <v>61</v>
      </c>
      <c r="N109" s="23"/>
      <c r="O109" s="61" t="s">
        <v>258</v>
      </c>
      <c r="P109" s="39"/>
    </row>
    <row r="110">
      <c r="A110" s="60">
        <v>36.0</v>
      </c>
      <c r="B110" s="36">
        <v>45965.0</v>
      </c>
      <c r="C110" s="53">
        <v>375.0</v>
      </c>
      <c r="D110" s="67" t="s">
        <v>135</v>
      </c>
      <c r="E110" s="63">
        <v>24000.0</v>
      </c>
      <c r="F110" s="23"/>
      <c r="G110" s="23"/>
      <c r="H110" s="23"/>
      <c r="I110" s="23"/>
      <c r="J110" s="23"/>
      <c r="K110" s="24">
        <v>45000.0</v>
      </c>
      <c r="L110" s="46" t="s">
        <v>259</v>
      </c>
      <c r="M110" s="52">
        <v>0.0</v>
      </c>
      <c r="N110" s="46" t="s">
        <v>260</v>
      </c>
      <c r="O110" s="55" t="s">
        <v>261</v>
      </c>
      <c r="P110" s="35">
        <v>45983.0</v>
      </c>
    </row>
    <row r="111">
      <c r="A111" s="68"/>
      <c r="B111" s="36">
        <v>45968.0</v>
      </c>
      <c r="C111" s="22">
        <v>0.0</v>
      </c>
      <c r="D111" s="22">
        <v>0.0</v>
      </c>
      <c r="E111" s="22">
        <v>0.0</v>
      </c>
      <c r="F111" s="69"/>
      <c r="G111" s="69"/>
      <c r="H111" s="69"/>
      <c r="I111" s="69"/>
      <c r="J111" s="69"/>
      <c r="K111" s="70">
        <v>800000.0</v>
      </c>
      <c r="L111" s="46" t="s">
        <v>259</v>
      </c>
      <c r="M111" s="52" t="s">
        <v>61</v>
      </c>
      <c r="N111" s="71">
        <v>0.0</v>
      </c>
      <c r="O111" s="55" t="s">
        <v>262</v>
      </c>
      <c r="P111" s="72"/>
    </row>
    <row r="112">
      <c r="A112" s="68"/>
      <c r="B112" s="36">
        <v>45968.0</v>
      </c>
      <c r="C112" s="22">
        <v>0.0</v>
      </c>
      <c r="D112" s="22">
        <v>0.0</v>
      </c>
      <c r="E112" s="22">
        <v>0.0</v>
      </c>
      <c r="F112" s="69"/>
      <c r="G112" s="69"/>
      <c r="H112" s="69"/>
      <c r="I112" s="69"/>
      <c r="J112" s="69"/>
      <c r="K112" s="70">
        <v>800000.0</v>
      </c>
      <c r="L112" s="46" t="s">
        <v>259</v>
      </c>
      <c r="M112" s="52" t="s">
        <v>61</v>
      </c>
      <c r="N112" s="71">
        <v>0.0</v>
      </c>
      <c r="O112" s="55" t="s">
        <v>263</v>
      </c>
      <c r="P112" s="72"/>
    </row>
    <row r="113">
      <c r="A113" s="68"/>
      <c r="B113" s="36">
        <v>45973.0</v>
      </c>
      <c r="C113" s="22">
        <v>0.0</v>
      </c>
      <c r="D113" s="22">
        <v>0.0</v>
      </c>
      <c r="E113" s="22">
        <v>0.0</v>
      </c>
      <c r="F113" s="69"/>
      <c r="G113" s="69"/>
      <c r="H113" s="69"/>
      <c r="I113" s="69"/>
      <c r="J113" s="69"/>
      <c r="K113" s="70">
        <v>1000000.0</v>
      </c>
      <c r="L113" s="46" t="s">
        <v>259</v>
      </c>
      <c r="M113" s="73">
        <v>0.0</v>
      </c>
      <c r="N113" s="46" t="s">
        <v>264</v>
      </c>
      <c r="O113" s="55" t="s">
        <v>265</v>
      </c>
      <c r="P113" s="72"/>
    </row>
    <row r="114">
      <c r="A114" s="68"/>
      <c r="B114" s="74">
        <v>45994.0</v>
      </c>
      <c r="C114" s="22">
        <v>0.0</v>
      </c>
      <c r="D114" s="22">
        <v>0.0</v>
      </c>
      <c r="E114" s="22">
        <v>0.0</v>
      </c>
      <c r="F114" s="69"/>
      <c r="G114" s="69"/>
      <c r="H114" s="69"/>
      <c r="I114" s="69"/>
      <c r="J114" s="69"/>
      <c r="K114" s="70">
        <v>900000.0</v>
      </c>
      <c r="L114" s="46" t="s">
        <v>259</v>
      </c>
      <c r="M114" s="73">
        <v>0.0</v>
      </c>
      <c r="N114" s="71" t="s">
        <v>266</v>
      </c>
      <c r="O114" s="55" t="s">
        <v>267</v>
      </c>
      <c r="P114" s="72"/>
    </row>
    <row r="115">
      <c r="A115" s="68"/>
      <c r="B115" s="74">
        <v>45994.0</v>
      </c>
      <c r="C115" s="22">
        <v>0.0</v>
      </c>
      <c r="D115" s="22">
        <v>0.0</v>
      </c>
      <c r="E115" s="22">
        <v>0.0</v>
      </c>
      <c r="F115" s="69"/>
      <c r="G115" s="69"/>
      <c r="H115" s="69"/>
      <c r="I115" s="69"/>
      <c r="J115" s="69"/>
      <c r="K115" s="70">
        <v>1000000.0</v>
      </c>
      <c r="L115" s="46" t="s">
        <v>259</v>
      </c>
      <c r="M115" s="75"/>
      <c r="N115" s="71" t="s">
        <v>268</v>
      </c>
      <c r="O115" s="55" t="s">
        <v>269</v>
      </c>
      <c r="P115" s="72"/>
    </row>
    <row r="116">
      <c r="A116" s="76">
        <v>37.0</v>
      </c>
      <c r="B116" s="74">
        <v>45965.0</v>
      </c>
      <c r="C116" s="73">
        <v>486.0</v>
      </c>
      <c r="D116" s="77" t="s">
        <v>153</v>
      </c>
      <c r="E116" s="78">
        <v>26000.0</v>
      </c>
      <c r="F116" s="69" t="s">
        <v>120</v>
      </c>
      <c r="G116" s="78">
        <v>0.0</v>
      </c>
      <c r="H116" s="69" t="s">
        <v>195</v>
      </c>
      <c r="I116" s="78">
        <v>0.0</v>
      </c>
      <c r="J116" s="78">
        <v>0.0</v>
      </c>
      <c r="K116" s="70">
        <f>40000+50000</f>
        <v>90000</v>
      </c>
      <c r="L116" s="79" t="s">
        <v>195</v>
      </c>
      <c r="M116" s="75"/>
      <c r="N116" s="71" t="s">
        <v>270</v>
      </c>
      <c r="O116" s="61" t="s">
        <v>271</v>
      </c>
      <c r="P116" s="80">
        <v>45980.0</v>
      </c>
    </row>
    <row r="117">
      <c r="A117" s="68"/>
      <c r="B117" s="74" t="s">
        <v>272</v>
      </c>
      <c r="C117" s="22">
        <v>0.0</v>
      </c>
      <c r="D117" s="22">
        <v>0.0</v>
      </c>
      <c r="E117" s="22">
        <v>0.0</v>
      </c>
      <c r="F117" s="69"/>
      <c r="G117" s="69"/>
      <c r="H117" s="69" t="s">
        <v>195</v>
      </c>
      <c r="I117" s="69"/>
      <c r="J117" s="69"/>
      <c r="K117" s="70">
        <v>60000.0</v>
      </c>
      <c r="L117" s="79" t="s">
        <v>195</v>
      </c>
      <c r="M117" s="75"/>
      <c r="N117" s="71" t="s">
        <v>273</v>
      </c>
      <c r="O117" s="61" t="s">
        <v>274</v>
      </c>
      <c r="P117" s="72"/>
    </row>
    <row r="118">
      <c r="A118" s="68"/>
      <c r="B118" s="74" t="s">
        <v>66</v>
      </c>
      <c r="C118" s="22">
        <v>0.0</v>
      </c>
      <c r="D118" s="22">
        <v>0.0</v>
      </c>
      <c r="E118" s="22">
        <v>0.0</v>
      </c>
      <c r="F118" s="69"/>
      <c r="G118" s="69"/>
      <c r="H118" s="69"/>
      <c r="I118" s="69"/>
      <c r="J118" s="69"/>
      <c r="K118" s="70">
        <v>95000.0</v>
      </c>
      <c r="L118" s="79" t="s">
        <v>195</v>
      </c>
      <c r="M118" s="75"/>
      <c r="N118" s="71" t="s">
        <v>275</v>
      </c>
      <c r="O118" s="61" t="s">
        <v>276</v>
      </c>
      <c r="P118" s="72"/>
    </row>
    <row r="119">
      <c r="A119" s="68"/>
      <c r="B119" s="74" t="s">
        <v>277</v>
      </c>
      <c r="C119" s="22">
        <v>0.0</v>
      </c>
      <c r="D119" s="22">
        <v>0.0</v>
      </c>
      <c r="E119" s="22">
        <v>0.0</v>
      </c>
      <c r="F119" s="69"/>
      <c r="G119" s="69"/>
      <c r="H119" s="69" t="s">
        <v>195</v>
      </c>
      <c r="I119" s="69"/>
      <c r="J119" s="69"/>
      <c r="K119" s="70">
        <v>95000.0</v>
      </c>
      <c r="L119" s="79" t="s">
        <v>195</v>
      </c>
      <c r="M119" s="75"/>
      <c r="N119" s="71" t="s">
        <v>278</v>
      </c>
      <c r="O119" s="61" t="s">
        <v>279</v>
      </c>
      <c r="P119" s="72"/>
    </row>
    <row r="120">
      <c r="A120" s="68"/>
      <c r="B120" s="74" t="s">
        <v>280</v>
      </c>
      <c r="C120" s="22">
        <v>0.0</v>
      </c>
      <c r="D120" s="22">
        <v>0.0</v>
      </c>
      <c r="E120" s="22">
        <v>0.0</v>
      </c>
      <c r="F120" s="69"/>
      <c r="G120" s="69"/>
      <c r="H120" s="69" t="s">
        <v>195</v>
      </c>
      <c r="I120" s="69"/>
      <c r="J120" s="69"/>
      <c r="K120" s="70">
        <v>95000.0</v>
      </c>
      <c r="L120" s="79" t="s">
        <v>195</v>
      </c>
      <c r="M120" s="75"/>
      <c r="N120" s="71" t="s">
        <v>281</v>
      </c>
      <c r="O120" s="61" t="s">
        <v>282</v>
      </c>
      <c r="P120" s="72"/>
    </row>
    <row r="121">
      <c r="A121" s="68"/>
      <c r="B121" s="74" t="s">
        <v>283</v>
      </c>
      <c r="C121" s="22">
        <v>0.0</v>
      </c>
      <c r="D121" s="22">
        <v>0.0</v>
      </c>
      <c r="E121" s="22">
        <v>0.0</v>
      </c>
      <c r="F121" s="69"/>
      <c r="G121" s="69"/>
      <c r="H121" s="69"/>
      <c r="I121" s="69"/>
      <c r="J121" s="69"/>
      <c r="K121" s="70">
        <v>65000.0</v>
      </c>
      <c r="L121" s="79" t="s">
        <v>195</v>
      </c>
      <c r="M121" s="75"/>
      <c r="N121" s="46" t="s">
        <v>284</v>
      </c>
      <c r="O121" s="61" t="s">
        <v>285</v>
      </c>
      <c r="P121" s="72"/>
    </row>
    <row r="122">
      <c r="A122" s="76">
        <v>38.0</v>
      </c>
      <c r="B122" s="74" t="s">
        <v>286</v>
      </c>
      <c r="C122" s="73">
        <v>487.0</v>
      </c>
      <c r="D122" s="81" t="s">
        <v>153</v>
      </c>
      <c r="E122" s="82">
        <v>26500.0</v>
      </c>
      <c r="F122" s="69" t="s">
        <v>120</v>
      </c>
      <c r="G122" s="69"/>
      <c r="H122" s="69"/>
      <c r="I122" s="69"/>
      <c r="J122" s="69"/>
      <c r="K122" s="70">
        <v>50000.0</v>
      </c>
      <c r="L122" s="79" t="s">
        <v>287</v>
      </c>
      <c r="M122" s="73">
        <v>0.0</v>
      </c>
      <c r="N122" s="71" t="s">
        <v>288</v>
      </c>
      <c r="O122" s="61" t="s">
        <v>289</v>
      </c>
      <c r="P122" s="80">
        <v>45990.0</v>
      </c>
    </row>
    <row r="123">
      <c r="A123" s="68"/>
      <c r="B123" s="74">
        <v>45995.0</v>
      </c>
      <c r="C123" s="22">
        <v>0.0</v>
      </c>
      <c r="D123" s="22">
        <v>0.0</v>
      </c>
      <c r="E123" s="22">
        <v>0.0</v>
      </c>
      <c r="F123" s="69"/>
      <c r="G123" s="69"/>
      <c r="H123" s="69"/>
      <c r="I123" s="69"/>
      <c r="J123" s="69"/>
      <c r="K123" s="70">
        <v>999976.4</v>
      </c>
      <c r="L123" s="79" t="s">
        <v>287</v>
      </c>
      <c r="M123" s="73">
        <v>0.0</v>
      </c>
      <c r="N123" s="71" t="s">
        <v>290</v>
      </c>
      <c r="O123" s="55" t="s">
        <v>291</v>
      </c>
      <c r="P123" s="72"/>
    </row>
    <row r="124">
      <c r="A124" s="76">
        <v>39.0</v>
      </c>
      <c r="B124" s="74">
        <v>45965.0</v>
      </c>
      <c r="C124" s="73">
        <v>621.0</v>
      </c>
      <c r="D124" s="77" t="s">
        <v>292</v>
      </c>
      <c r="E124" s="78">
        <v>26000.0</v>
      </c>
      <c r="F124" s="69" t="s">
        <v>120</v>
      </c>
      <c r="G124" s="69"/>
      <c r="H124" s="69" t="s">
        <v>195</v>
      </c>
      <c r="I124" s="69"/>
      <c r="J124" s="69"/>
      <c r="K124" s="70">
        <v>10116.0</v>
      </c>
      <c r="L124" s="79" t="s">
        <v>293</v>
      </c>
      <c r="M124" s="73" t="s">
        <v>78</v>
      </c>
      <c r="N124" s="71">
        <v>0.0</v>
      </c>
      <c r="O124" s="83">
        <v>0.0</v>
      </c>
      <c r="P124" s="80">
        <v>45980.0</v>
      </c>
    </row>
    <row r="125">
      <c r="A125" s="68"/>
      <c r="B125" s="74">
        <v>45970.0</v>
      </c>
      <c r="C125" s="22">
        <v>0.0</v>
      </c>
      <c r="D125" s="22">
        <v>0.0</v>
      </c>
      <c r="E125" s="22">
        <v>0.0</v>
      </c>
      <c r="F125" s="69"/>
      <c r="G125" s="69"/>
      <c r="H125" s="69"/>
      <c r="I125" s="69"/>
      <c r="J125" s="69"/>
      <c r="K125" s="70">
        <v>90000.0</v>
      </c>
      <c r="L125" s="79" t="s">
        <v>293</v>
      </c>
      <c r="M125" s="73" t="s">
        <v>78</v>
      </c>
      <c r="N125" s="71">
        <v>0.0</v>
      </c>
      <c r="O125" s="84" t="s">
        <v>294</v>
      </c>
      <c r="P125" s="72"/>
    </row>
    <row r="126">
      <c r="A126" s="68"/>
      <c r="B126" s="74">
        <v>45988.0</v>
      </c>
      <c r="C126" s="22">
        <v>0.0</v>
      </c>
      <c r="D126" s="22">
        <v>0.0</v>
      </c>
      <c r="E126" s="22">
        <v>0.0</v>
      </c>
      <c r="F126" s="69"/>
      <c r="G126" s="69"/>
      <c r="H126" s="69"/>
      <c r="I126" s="69"/>
      <c r="J126" s="69"/>
      <c r="K126" s="70">
        <v>50000.0</v>
      </c>
      <c r="L126" s="79" t="s">
        <v>293</v>
      </c>
      <c r="M126" s="73">
        <v>0.0</v>
      </c>
      <c r="N126" s="71" t="s">
        <v>295</v>
      </c>
      <c r="O126" s="84" t="s">
        <v>296</v>
      </c>
      <c r="P126" s="72"/>
    </row>
    <row r="127">
      <c r="A127" s="68"/>
      <c r="B127" s="74">
        <v>45988.0</v>
      </c>
      <c r="C127" s="22">
        <v>0.0</v>
      </c>
      <c r="D127" s="22">
        <v>0.0</v>
      </c>
      <c r="E127" s="22">
        <v>0.0</v>
      </c>
      <c r="F127" s="69"/>
      <c r="G127" s="69"/>
      <c r="H127" s="69"/>
      <c r="I127" s="69"/>
      <c r="J127" s="69"/>
      <c r="K127" s="70">
        <v>100000.0</v>
      </c>
      <c r="L127" s="79" t="s">
        <v>293</v>
      </c>
      <c r="M127" s="73">
        <v>0.0</v>
      </c>
      <c r="N127" s="71" t="s">
        <v>297</v>
      </c>
      <c r="O127" s="84" t="s">
        <v>298</v>
      </c>
      <c r="P127" s="72"/>
    </row>
    <row r="128">
      <c r="A128" s="68"/>
      <c r="B128" s="74">
        <v>45989.0</v>
      </c>
      <c r="C128" s="22">
        <v>0.0</v>
      </c>
      <c r="D128" s="22">
        <v>0.0</v>
      </c>
      <c r="E128" s="22">
        <v>0.0</v>
      </c>
      <c r="F128" s="69"/>
      <c r="G128" s="69"/>
      <c r="H128" s="69"/>
      <c r="I128" s="69"/>
      <c r="J128" s="69"/>
      <c r="K128" s="70">
        <v>300000.0</v>
      </c>
      <c r="L128" s="79" t="s">
        <v>293</v>
      </c>
      <c r="M128" s="73">
        <v>0.0</v>
      </c>
      <c r="N128" s="71" t="s">
        <v>299</v>
      </c>
      <c r="O128" s="84" t="s">
        <v>300</v>
      </c>
      <c r="P128" s="72"/>
    </row>
    <row r="129">
      <c r="A129" s="68"/>
      <c r="B129" s="74">
        <v>45994.0</v>
      </c>
      <c r="C129" s="45"/>
      <c r="D129" s="45"/>
      <c r="E129" s="45"/>
      <c r="F129" s="69"/>
      <c r="G129" s="69"/>
      <c r="H129" s="69"/>
      <c r="I129" s="69"/>
      <c r="J129" s="69"/>
      <c r="K129" s="70">
        <v>100000.0</v>
      </c>
      <c r="L129" s="79" t="s">
        <v>293</v>
      </c>
      <c r="M129" s="73">
        <v>0.0</v>
      </c>
      <c r="N129" s="71" t="s">
        <v>301</v>
      </c>
      <c r="O129" s="84" t="s">
        <v>302</v>
      </c>
      <c r="P129" s="72"/>
    </row>
    <row r="130">
      <c r="A130" s="68"/>
      <c r="B130" s="74">
        <v>45996.0</v>
      </c>
      <c r="C130" s="45"/>
      <c r="D130" s="45"/>
      <c r="E130" s="45"/>
      <c r="F130" s="69"/>
      <c r="G130" s="69"/>
      <c r="H130" s="69"/>
      <c r="I130" s="69"/>
      <c r="J130" s="69"/>
      <c r="K130" s="70">
        <v>500000.0</v>
      </c>
      <c r="L130" s="79" t="s">
        <v>293</v>
      </c>
      <c r="M130" s="73">
        <v>0.0</v>
      </c>
      <c r="N130" s="71" t="s">
        <v>303</v>
      </c>
      <c r="O130" s="84" t="s">
        <v>304</v>
      </c>
      <c r="P130" s="72"/>
    </row>
    <row r="131">
      <c r="A131" s="76">
        <v>40.0</v>
      </c>
      <c r="B131" s="74">
        <v>45969.0</v>
      </c>
      <c r="C131" s="73">
        <v>483.0</v>
      </c>
      <c r="D131" s="81" t="s">
        <v>153</v>
      </c>
      <c r="E131" s="78">
        <v>26000.0</v>
      </c>
      <c r="F131" s="69"/>
      <c r="G131" s="69"/>
      <c r="H131" s="69"/>
      <c r="I131" s="69"/>
      <c r="J131" s="69"/>
      <c r="K131" s="70">
        <f>200000</f>
        <v>200000</v>
      </c>
      <c r="L131" s="71" t="s">
        <v>305</v>
      </c>
      <c r="M131" s="73">
        <v>0.0</v>
      </c>
      <c r="N131" s="71" t="s">
        <v>26</v>
      </c>
      <c r="O131" s="84" t="s">
        <v>306</v>
      </c>
      <c r="P131" s="80">
        <v>45984.0</v>
      </c>
    </row>
    <row r="132">
      <c r="A132" s="68"/>
      <c r="B132" s="74">
        <v>45993.0</v>
      </c>
      <c r="C132" s="22">
        <v>0.0</v>
      </c>
      <c r="D132" s="22">
        <v>0.0</v>
      </c>
      <c r="E132" s="22">
        <v>0.0</v>
      </c>
      <c r="F132" s="69"/>
      <c r="G132" s="69"/>
      <c r="H132" s="69"/>
      <c r="I132" s="69"/>
      <c r="J132" s="69"/>
      <c r="K132" s="70">
        <v>136160.0</v>
      </c>
      <c r="L132" s="71" t="s">
        <v>305</v>
      </c>
      <c r="M132" s="73">
        <v>0.0</v>
      </c>
      <c r="N132" s="71" t="s">
        <v>307</v>
      </c>
      <c r="O132" s="84" t="s">
        <v>308</v>
      </c>
      <c r="P132" s="72"/>
    </row>
    <row r="133">
      <c r="A133" s="68"/>
      <c r="B133" s="74">
        <v>45995.0</v>
      </c>
      <c r="C133" s="22">
        <v>0.0</v>
      </c>
      <c r="D133" s="22">
        <v>0.0</v>
      </c>
      <c r="E133" s="22">
        <v>0.0</v>
      </c>
      <c r="F133" s="69"/>
      <c r="G133" s="69"/>
      <c r="H133" s="69"/>
      <c r="I133" s="69"/>
      <c r="J133" s="69"/>
      <c r="K133" s="70">
        <v>350000.0</v>
      </c>
      <c r="L133" s="71" t="s">
        <v>305</v>
      </c>
      <c r="M133" s="73" t="s">
        <v>78</v>
      </c>
      <c r="N133" s="71">
        <v>0.0</v>
      </c>
      <c r="O133" s="84" t="s">
        <v>309</v>
      </c>
      <c r="P133" s="72"/>
    </row>
    <row r="134">
      <c r="A134" s="76">
        <v>41.0</v>
      </c>
      <c r="B134" s="74">
        <v>45971.0</v>
      </c>
      <c r="C134" s="73">
        <v>526.0</v>
      </c>
      <c r="D134" s="81" t="s">
        <v>153</v>
      </c>
      <c r="E134" s="82">
        <v>26300.0</v>
      </c>
      <c r="F134" s="69"/>
      <c r="G134" s="69"/>
      <c r="H134" s="69"/>
      <c r="I134" s="69"/>
      <c r="J134" s="69"/>
      <c r="K134" s="70">
        <v>36000.0</v>
      </c>
      <c r="L134" s="71" t="s">
        <v>310</v>
      </c>
      <c r="M134" s="73" t="s">
        <v>78</v>
      </c>
      <c r="N134" s="71">
        <v>0.0</v>
      </c>
      <c r="O134" s="84" t="s">
        <v>311</v>
      </c>
      <c r="P134" s="80">
        <v>45986.0</v>
      </c>
    </row>
    <row r="135">
      <c r="A135" s="68"/>
      <c r="B135" s="74">
        <v>45973.0</v>
      </c>
      <c r="C135" s="22">
        <v>0.0</v>
      </c>
      <c r="D135" s="22">
        <v>0.0</v>
      </c>
      <c r="E135" s="22">
        <v>0.0</v>
      </c>
      <c r="F135" s="69"/>
      <c r="G135" s="69"/>
      <c r="H135" s="69"/>
      <c r="I135" s="69"/>
      <c r="J135" s="69"/>
      <c r="K135" s="70">
        <v>64000.0</v>
      </c>
      <c r="L135" s="71" t="s">
        <v>310</v>
      </c>
      <c r="M135" s="73">
        <v>0.0</v>
      </c>
      <c r="N135" s="71" t="s">
        <v>312</v>
      </c>
      <c r="O135" s="84" t="s">
        <v>313</v>
      </c>
      <c r="P135" s="72"/>
    </row>
    <row r="136">
      <c r="A136" s="68"/>
      <c r="B136" s="74">
        <v>45994.0</v>
      </c>
      <c r="C136" s="22">
        <v>0.0</v>
      </c>
      <c r="D136" s="22">
        <v>0.0</v>
      </c>
      <c r="E136" s="22">
        <v>0.0</v>
      </c>
      <c r="F136" s="69"/>
      <c r="G136" s="69"/>
      <c r="H136" s="69"/>
      <c r="I136" s="69"/>
      <c r="J136" s="69"/>
      <c r="K136" s="70">
        <v>152078.0</v>
      </c>
      <c r="L136" s="71" t="s">
        <v>310</v>
      </c>
      <c r="M136" s="73">
        <v>0.0</v>
      </c>
      <c r="N136" s="71" t="s">
        <v>314</v>
      </c>
      <c r="O136" s="84" t="s">
        <v>315</v>
      </c>
      <c r="P136" s="72"/>
    </row>
    <row r="137">
      <c r="A137" s="68"/>
      <c r="B137" s="74">
        <v>45996.0</v>
      </c>
      <c r="C137" s="22">
        <v>0.0</v>
      </c>
      <c r="D137" s="22">
        <v>0.0</v>
      </c>
      <c r="E137" s="22">
        <v>0.0</v>
      </c>
      <c r="F137" s="69"/>
      <c r="G137" s="69"/>
      <c r="H137" s="69"/>
      <c r="I137" s="69"/>
      <c r="J137" s="69"/>
      <c r="K137" s="70">
        <v>100000.0</v>
      </c>
      <c r="L137" s="71" t="s">
        <v>310</v>
      </c>
      <c r="M137" s="73">
        <v>0.0</v>
      </c>
      <c r="N137" s="71" t="s">
        <v>316</v>
      </c>
      <c r="O137" s="84" t="s">
        <v>317</v>
      </c>
      <c r="P137" s="72"/>
    </row>
    <row r="138">
      <c r="A138" s="68"/>
      <c r="B138" s="74">
        <v>45997.0</v>
      </c>
      <c r="C138" s="45"/>
      <c r="D138" s="45"/>
      <c r="E138" s="45"/>
      <c r="F138" s="69"/>
      <c r="G138" s="69"/>
      <c r="H138" s="69"/>
      <c r="I138" s="69"/>
      <c r="J138" s="69"/>
      <c r="K138" s="70">
        <v>848930.0</v>
      </c>
      <c r="L138" s="71" t="s">
        <v>310</v>
      </c>
      <c r="M138" s="73" t="s">
        <v>61</v>
      </c>
      <c r="N138" s="71">
        <v>0.0</v>
      </c>
      <c r="O138" s="85"/>
      <c r="P138" s="72"/>
    </row>
    <row r="139">
      <c r="A139" s="76">
        <v>42.0</v>
      </c>
      <c r="B139" s="74">
        <v>45971.0</v>
      </c>
      <c r="C139" s="86">
        <v>578.0</v>
      </c>
      <c r="D139" s="81" t="s">
        <v>318</v>
      </c>
      <c r="E139" s="78">
        <v>26000.0</v>
      </c>
      <c r="F139" s="69"/>
      <c r="G139" s="69"/>
      <c r="H139" s="69"/>
      <c r="I139" s="69"/>
      <c r="J139" s="69"/>
      <c r="K139" s="70">
        <v>50000.0</v>
      </c>
      <c r="L139" s="71" t="s">
        <v>319</v>
      </c>
      <c r="M139" s="73">
        <v>0.0</v>
      </c>
      <c r="N139" s="71" t="s">
        <v>320</v>
      </c>
      <c r="O139" s="84" t="s">
        <v>321</v>
      </c>
      <c r="P139" s="80">
        <v>45986.0</v>
      </c>
    </row>
    <row r="140">
      <c r="A140" s="68"/>
      <c r="B140" s="74">
        <v>45994.0</v>
      </c>
      <c r="C140" s="22">
        <v>0.0</v>
      </c>
      <c r="D140" s="22">
        <v>0.0</v>
      </c>
      <c r="E140" s="22">
        <v>0.0</v>
      </c>
      <c r="F140" s="69"/>
      <c r="G140" s="69"/>
      <c r="H140" s="69"/>
      <c r="I140" s="69"/>
      <c r="J140" s="69"/>
      <c r="K140" s="70">
        <v>155961.0</v>
      </c>
      <c r="L140" s="71" t="s">
        <v>319</v>
      </c>
      <c r="M140" s="73">
        <v>0.0</v>
      </c>
      <c r="N140" s="71" t="s">
        <v>322</v>
      </c>
      <c r="O140" s="84" t="s">
        <v>323</v>
      </c>
      <c r="P140" s="72"/>
    </row>
    <row r="141">
      <c r="A141" s="68"/>
      <c r="B141" s="74">
        <v>45994.0</v>
      </c>
      <c r="C141" s="22">
        <v>0.0</v>
      </c>
      <c r="D141" s="22">
        <v>0.0</v>
      </c>
      <c r="E141" s="22">
        <v>0.0</v>
      </c>
      <c r="F141" s="69"/>
      <c r="G141" s="69"/>
      <c r="H141" s="69"/>
      <c r="I141" s="69"/>
      <c r="J141" s="69"/>
      <c r="K141" s="70">
        <v>767674.0</v>
      </c>
      <c r="L141" s="71" t="s">
        <v>319</v>
      </c>
      <c r="M141" s="73" t="s">
        <v>78</v>
      </c>
      <c r="N141" s="71">
        <v>0.0</v>
      </c>
      <c r="O141" s="84" t="s">
        <v>324</v>
      </c>
      <c r="P141" s="72"/>
    </row>
    <row r="142">
      <c r="A142" s="76">
        <v>43.0</v>
      </c>
      <c r="B142" s="74">
        <v>45971.0</v>
      </c>
      <c r="C142" s="86">
        <v>488.0</v>
      </c>
      <c r="D142" s="81" t="s">
        <v>325</v>
      </c>
      <c r="E142" s="78">
        <v>26000.0</v>
      </c>
      <c r="F142" s="69"/>
      <c r="G142" s="69"/>
      <c r="H142" s="69"/>
      <c r="I142" s="69"/>
      <c r="J142" s="69"/>
      <c r="K142" s="70">
        <v>50000.0</v>
      </c>
      <c r="L142" s="33" t="s">
        <v>31</v>
      </c>
      <c r="M142" s="73">
        <v>0.0</v>
      </c>
      <c r="N142" s="71" t="s">
        <v>326</v>
      </c>
      <c r="O142" s="84" t="s">
        <v>327</v>
      </c>
      <c r="P142" s="80">
        <v>45986.0</v>
      </c>
    </row>
    <row r="143">
      <c r="A143" s="68"/>
      <c r="B143" s="74">
        <v>45972.0</v>
      </c>
      <c r="C143" s="22">
        <v>0.0</v>
      </c>
      <c r="D143" s="22">
        <v>0.0</v>
      </c>
      <c r="E143" s="22">
        <v>0.0</v>
      </c>
      <c r="F143" s="69"/>
      <c r="G143" s="69"/>
      <c r="H143" s="69"/>
      <c r="I143" s="69"/>
      <c r="J143" s="69"/>
      <c r="K143" s="70">
        <v>150000.0</v>
      </c>
      <c r="L143" s="33" t="s">
        <v>31</v>
      </c>
      <c r="M143" s="73">
        <v>0.0</v>
      </c>
      <c r="N143" s="71" t="s">
        <v>328</v>
      </c>
      <c r="O143" s="84" t="s">
        <v>329</v>
      </c>
      <c r="P143" s="72"/>
    </row>
    <row r="144">
      <c r="A144" s="68"/>
      <c r="B144" s="74">
        <v>45974.0</v>
      </c>
      <c r="C144" s="22">
        <v>0.0</v>
      </c>
      <c r="D144" s="22">
        <v>0.0</v>
      </c>
      <c r="E144" s="22">
        <v>0.0</v>
      </c>
      <c r="F144" s="69"/>
      <c r="G144" s="69"/>
      <c r="H144" s="69"/>
      <c r="I144" s="69"/>
      <c r="J144" s="69"/>
      <c r="K144" s="70">
        <v>441923.0</v>
      </c>
      <c r="L144" s="33" t="s">
        <v>31</v>
      </c>
      <c r="M144" s="73">
        <v>0.0</v>
      </c>
      <c r="N144" s="71" t="s">
        <v>330</v>
      </c>
      <c r="O144" s="84" t="s">
        <v>331</v>
      </c>
      <c r="P144" s="72"/>
    </row>
    <row r="145">
      <c r="A145" s="68"/>
      <c r="B145" s="74">
        <v>45980.0</v>
      </c>
      <c r="C145" s="22">
        <v>0.0</v>
      </c>
      <c r="D145" s="22">
        <v>0.0</v>
      </c>
      <c r="E145" s="22">
        <v>0.0</v>
      </c>
      <c r="F145" s="69"/>
      <c r="G145" s="69"/>
      <c r="H145" s="69"/>
      <c r="I145" s="69"/>
      <c r="J145" s="69"/>
      <c r="K145" s="70">
        <v>1000000.0</v>
      </c>
      <c r="L145" s="33" t="s">
        <v>31</v>
      </c>
      <c r="M145" s="73" t="s">
        <v>61</v>
      </c>
      <c r="N145" s="71">
        <v>0.0</v>
      </c>
      <c r="O145" s="84" t="s">
        <v>332</v>
      </c>
      <c r="P145" s="72"/>
    </row>
    <row r="146">
      <c r="A146" s="68"/>
      <c r="B146" s="74">
        <v>45980.0</v>
      </c>
      <c r="C146" s="22">
        <v>0.0</v>
      </c>
      <c r="D146" s="22">
        <v>0.0</v>
      </c>
      <c r="E146" s="22">
        <v>0.0</v>
      </c>
      <c r="F146" s="69"/>
      <c r="G146" s="69"/>
      <c r="H146" s="69"/>
      <c r="I146" s="69"/>
      <c r="J146" s="69"/>
      <c r="K146" s="70">
        <v>1000000.0</v>
      </c>
      <c r="L146" s="33" t="s">
        <v>31</v>
      </c>
      <c r="M146" s="73" t="s">
        <v>61</v>
      </c>
      <c r="N146" s="71">
        <v>0.0</v>
      </c>
      <c r="O146" s="84" t="s">
        <v>333</v>
      </c>
      <c r="P146" s="72"/>
    </row>
    <row r="147">
      <c r="A147" s="68"/>
      <c r="B147" s="74">
        <v>45980.0</v>
      </c>
      <c r="C147" s="22">
        <v>0.0</v>
      </c>
      <c r="D147" s="22">
        <v>0.0</v>
      </c>
      <c r="E147" s="22">
        <v>0.0</v>
      </c>
      <c r="F147" s="69"/>
      <c r="G147" s="69"/>
      <c r="H147" s="69"/>
      <c r="I147" s="69"/>
      <c r="J147" s="69"/>
      <c r="K147" s="70">
        <v>392650.0</v>
      </c>
      <c r="L147" s="33" t="s">
        <v>31</v>
      </c>
      <c r="M147" s="73" t="s">
        <v>61</v>
      </c>
      <c r="N147" s="71">
        <v>0.0</v>
      </c>
      <c r="O147" s="84" t="s">
        <v>334</v>
      </c>
      <c r="P147" s="72"/>
    </row>
    <row r="148">
      <c r="A148" s="76">
        <v>44.0</v>
      </c>
      <c r="B148" s="74">
        <v>45971.0</v>
      </c>
      <c r="C148" s="79">
        <v>143.0</v>
      </c>
      <c r="D148" s="87">
        <v>300.79</v>
      </c>
      <c r="E148" s="82">
        <v>18903.5</v>
      </c>
      <c r="F148" s="69"/>
      <c r="G148" s="69"/>
      <c r="H148" s="69"/>
      <c r="I148" s="69"/>
      <c r="J148" s="69"/>
      <c r="K148" s="70">
        <v>1000000.0</v>
      </c>
      <c r="L148" s="79" t="s">
        <v>335</v>
      </c>
      <c r="M148" s="73">
        <v>0.0</v>
      </c>
      <c r="N148" s="71" t="s">
        <v>336</v>
      </c>
      <c r="O148" s="88" t="s">
        <v>337</v>
      </c>
      <c r="P148" s="80">
        <v>45987.0</v>
      </c>
    </row>
    <row r="149">
      <c r="A149" s="68"/>
      <c r="B149" s="74">
        <v>45971.0</v>
      </c>
      <c r="C149" s="22">
        <v>0.0</v>
      </c>
      <c r="D149" s="22">
        <v>0.0</v>
      </c>
      <c r="E149" s="89">
        <v>0.0</v>
      </c>
      <c r="F149" s="69"/>
      <c r="G149" s="69"/>
      <c r="H149" s="69"/>
      <c r="I149" s="69"/>
      <c r="J149" s="69"/>
      <c r="K149" s="70">
        <v>1000000.0</v>
      </c>
      <c r="L149" s="79" t="s">
        <v>335</v>
      </c>
      <c r="M149" s="73">
        <v>0.0</v>
      </c>
      <c r="N149" s="71" t="s">
        <v>338</v>
      </c>
      <c r="O149" s="88" t="s">
        <v>339</v>
      </c>
      <c r="P149" s="72"/>
    </row>
    <row r="150">
      <c r="A150" s="68"/>
      <c r="B150" s="74">
        <v>45971.0</v>
      </c>
      <c r="C150" s="22">
        <v>0.0</v>
      </c>
      <c r="D150" s="22">
        <v>0.0</v>
      </c>
      <c r="E150" s="89">
        <v>0.0</v>
      </c>
      <c r="F150" s="69"/>
      <c r="G150" s="69"/>
      <c r="H150" s="69"/>
      <c r="I150" s="69"/>
      <c r="J150" s="69"/>
      <c r="K150" s="70">
        <v>1000000.0</v>
      </c>
      <c r="L150" s="79" t="s">
        <v>335</v>
      </c>
      <c r="M150" s="73">
        <v>0.0</v>
      </c>
      <c r="N150" s="71" t="s">
        <v>340</v>
      </c>
      <c r="O150" s="88" t="s">
        <v>341</v>
      </c>
      <c r="P150" s="72"/>
    </row>
    <row r="151">
      <c r="A151" s="68"/>
      <c r="B151" s="74">
        <v>45971.0</v>
      </c>
      <c r="C151" s="22">
        <v>0.0</v>
      </c>
      <c r="D151" s="22">
        <v>0.0</v>
      </c>
      <c r="E151" s="89">
        <v>0.0</v>
      </c>
      <c r="F151" s="69"/>
      <c r="G151" s="69"/>
      <c r="H151" s="69"/>
      <c r="I151" s="69"/>
      <c r="J151" s="69"/>
      <c r="K151" s="70">
        <v>1000000.0</v>
      </c>
      <c r="L151" s="79" t="s">
        <v>335</v>
      </c>
      <c r="M151" s="73">
        <v>0.0</v>
      </c>
      <c r="N151" s="71" t="s">
        <v>342</v>
      </c>
      <c r="O151" s="88" t="s">
        <v>343</v>
      </c>
      <c r="P151" s="72"/>
    </row>
    <row r="152">
      <c r="A152" s="68"/>
      <c r="B152" s="74">
        <v>45971.0</v>
      </c>
      <c r="C152" s="22">
        <v>0.0</v>
      </c>
      <c r="D152" s="22">
        <v>0.0</v>
      </c>
      <c r="E152" s="89">
        <v>0.0</v>
      </c>
      <c r="F152" s="69"/>
      <c r="G152" s="69"/>
      <c r="H152" s="69"/>
      <c r="I152" s="69"/>
      <c r="J152" s="69"/>
      <c r="K152" s="70">
        <v>1000000.0</v>
      </c>
      <c r="L152" s="79" t="s">
        <v>335</v>
      </c>
      <c r="M152" s="73">
        <v>0.0</v>
      </c>
      <c r="N152" s="71" t="s">
        <v>342</v>
      </c>
      <c r="O152" s="88" t="s">
        <v>344</v>
      </c>
      <c r="P152" s="72"/>
    </row>
    <row r="153">
      <c r="A153" s="68"/>
      <c r="B153" s="74">
        <v>45971.0</v>
      </c>
      <c r="C153" s="22">
        <v>0.0</v>
      </c>
      <c r="D153" s="22">
        <v>0.0</v>
      </c>
      <c r="E153" s="90">
        <v>0.0</v>
      </c>
      <c r="F153" s="69"/>
      <c r="G153" s="69"/>
      <c r="H153" s="69"/>
      <c r="I153" s="69"/>
      <c r="J153" s="69"/>
      <c r="K153" s="70">
        <v>685984.0</v>
      </c>
      <c r="L153" s="79" t="s">
        <v>335</v>
      </c>
      <c r="M153" s="73" t="s">
        <v>78</v>
      </c>
      <c r="N153" s="71">
        <v>0.0</v>
      </c>
      <c r="O153" s="88" t="s">
        <v>345</v>
      </c>
      <c r="P153" s="72"/>
    </row>
    <row r="154">
      <c r="A154" s="68"/>
      <c r="B154" s="74">
        <v>45971.0</v>
      </c>
      <c r="C154" s="79">
        <v>144.0</v>
      </c>
      <c r="D154" s="87">
        <v>300.79</v>
      </c>
      <c r="E154" s="82">
        <v>18903.5</v>
      </c>
      <c r="F154" s="69"/>
      <c r="G154" s="69"/>
      <c r="H154" s="69"/>
      <c r="I154" s="69"/>
      <c r="J154" s="69"/>
      <c r="K154" s="70">
        <v>114016.0</v>
      </c>
      <c r="L154" s="79" t="s">
        <v>335</v>
      </c>
      <c r="M154" s="73" t="s">
        <v>78</v>
      </c>
      <c r="N154" s="71">
        <v>0.0</v>
      </c>
      <c r="O154" s="88" t="s">
        <v>346</v>
      </c>
      <c r="P154" s="72"/>
    </row>
    <row r="155">
      <c r="A155" s="68"/>
      <c r="B155" s="74">
        <v>45972.0</v>
      </c>
      <c r="C155" s="79">
        <v>144.0</v>
      </c>
      <c r="D155" s="87">
        <v>300.79</v>
      </c>
      <c r="E155" s="82">
        <v>18903.5</v>
      </c>
      <c r="F155" s="69"/>
      <c r="G155" s="69"/>
      <c r="H155" s="69"/>
      <c r="I155" s="69"/>
      <c r="J155" s="69"/>
      <c r="K155" s="70">
        <v>1000000.0</v>
      </c>
      <c r="L155" s="79" t="s">
        <v>335</v>
      </c>
      <c r="M155" s="73">
        <v>0.0</v>
      </c>
      <c r="N155" s="71" t="s">
        <v>347</v>
      </c>
      <c r="O155" s="88" t="s">
        <v>348</v>
      </c>
      <c r="P155" s="72"/>
    </row>
    <row r="156">
      <c r="A156" s="68"/>
      <c r="B156" s="74">
        <v>45972.0</v>
      </c>
      <c r="C156" s="22">
        <v>0.0</v>
      </c>
      <c r="D156" s="22">
        <v>0.0</v>
      </c>
      <c r="E156" s="89">
        <v>0.0</v>
      </c>
      <c r="F156" s="69"/>
      <c r="G156" s="69"/>
      <c r="H156" s="69"/>
      <c r="I156" s="69"/>
      <c r="J156" s="69"/>
      <c r="K156" s="70">
        <v>1000000.0</v>
      </c>
      <c r="L156" s="79" t="s">
        <v>335</v>
      </c>
      <c r="M156" s="73">
        <v>0.0</v>
      </c>
      <c r="N156" s="46" t="s">
        <v>349</v>
      </c>
      <c r="O156" s="88" t="s">
        <v>350</v>
      </c>
      <c r="P156" s="72"/>
    </row>
    <row r="157">
      <c r="A157" s="68"/>
      <c r="B157" s="74">
        <v>45972.0</v>
      </c>
      <c r="C157" s="22">
        <v>0.0</v>
      </c>
      <c r="D157" s="22">
        <v>0.0</v>
      </c>
      <c r="E157" s="89">
        <v>0.0</v>
      </c>
      <c r="F157" s="69"/>
      <c r="G157" s="69"/>
      <c r="H157" s="69"/>
      <c r="I157" s="69"/>
      <c r="J157" s="69"/>
      <c r="K157" s="70">
        <v>1000000.0</v>
      </c>
      <c r="L157" s="79" t="s">
        <v>335</v>
      </c>
      <c r="M157" s="73">
        <v>0.0</v>
      </c>
      <c r="N157" s="91" t="s">
        <v>351</v>
      </c>
      <c r="O157" s="88" t="s">
        <v>352</v>
      </c>
      <c r="P157" s="72"/>
    </row>
    <row r="158">
      <c r="A158" s="68"/>
      <c r="B158" s="74">
        <v>45972.0</v>
      </c>
      <c r="C158" s="22">
        <v>0.0</v>
      </c>
      <c r="D158" s="22">
        <v>0.0</v>
      </c>
      <c r="E158" s="89">
        <v>0.0</v>
      </c>
      <c r="F158" s="69"/>
      <c r="G158" s="69"/>
      <c r="H158" s="69"/>
      <c r="I158" s="69"/>
      <c r="J158" s="69"/>
      <c r="K158" s="70">
        <v>2200000.0</v>
      </c>
      <c r="L158" s="79" t="s">
        <v>335</v>
      </c>
      <c r="M158" s="73" t="s">
        <v>78</v>
      </c>
      <c r="N158" s="71">
        <v>0.0</v>
      </c>
      <c r="O158" s="88" t="s">
        <v>353</v>
      </c>
      <c r="P158" s="72"/>
    </row>
    <row r="159">
      <c r="A159" s="68"/>
      <c r="B159" s="74">
        <v>45976.0</v>
      </c>
      <c r="C159" s="22">
        <v>0.0</v>
      </c>
      <c r="D159" s="22">
        <v>0.0</v>
      </c>
      <c r="E159" s="89">
        <v>0.0</v>
      </c>
      <c r="F159" s="69"/>
      <c r="G159" s="69"/>
      <c r="H159" s="69"/>
      <c r="I159" s="69"/>
      <c r="J159" s="69"/>
      <c r="K159" s="70">
        <v>371968.0</v>
      </c>
      <c r="L159" s="79" t="s">
        <v>335</v>
      </c>
      <c r="M159" s="73" t="s">
        <v>78</v>
      </c>
      <c r="N159" s="71">
        <v>0.0</v>
      </c>
      <c r="O159" s="88" t="s">
        <v>354</v>
      </c>
      <c r="P159" s="72"/>
    </row>
    <row r="160">
      <c r="A160" s="68"/>
      <c r="B160" s="74">
        <v>45976.0</v>
      </c>
      <c r="C160" s="79">
        <v>624.0</v>
      </c>
      <c r="D160" s="92" t="s">
        <v>355</v>
      </c>
      <c r="E160" s="93">
        <v>18903.5</v>
      </c>
      <c r="F160" s="69"/>
      <c r="G160" s="69"/>
      <c r="H160" s="69"/>
      <c r="I160" s="69"/>
      <c r="J160" s="69"/>
      <c r="K160" s="70">
        <v>306621.0</v>
      </c>
      <c r="L160" s="79" t="s">
        <v>335</v>
      </c>
      <c r="M160" s="73" t="s">
        <v>78</v>
      </c>
      <c r="N160" s="71">
        <v>0.0</v>
      </c>
      <c r="O160" s="88" t="s">
        <v>356</v>
      </c>
      <c r="P160" s="72"/>
    </row>
    <row r="161">
      <c r="A161" s="68"/>
      <c r="B161" s="74">
        <v>45976.0</v>
      </c>
      <c r="C161" s="79">
        <v>623.0</v>
      </c>
      <c r="D161" s="37" t="s">
        <v>357</v>
      </c>
      <c r="E161" s="63">
        <v>18903.5</v>
      </c>
      <c r="F161" s="23"/>
      <c r="G161" s="23"/>
      <c r="H161" s="23"/>
      <c r="I161" s="23"/>
      <c r="J161" s="23"/>
      <c r="K161" s="94">
        <v>71411.0</v>
      </c>
      <c r="L161" s="79" t="s">
        <v>335</v>
      </c>
      <c r="M161" s="73" t="s">
        <v>13</v>
      </c>
      <c r="N161" s="71">
        <v>0.0</v>
      </c>
      <c r="O161" s="88" t="s">
        <v>358</v>
      </c>
      <c r="P161" s="72"/>
    </row>
    <row r="162">
      <c r="A162" s="68"/>
      <c r="B162" s="74">
        <v>45978.0</v>
      </c>
      <c r="C162" s="79">
        <v>623.0</v>
      </c>
      <c r="D162" s="22">
        <v>0.0</v>
      </c>
      <c r="E162" s="89">
        <v>0.0</v>
      </c>
      <c r="F162" s="69"/>
      <c r="G162" s="69"/>
      <c r="H162" s="69"/>
      <c r="I162" s="69"/>
      <c r="J162" s="69"/>
      <c r="K162" s="70">
        <v>995000.0</v>
      </c>
      <c r="L162" s="79" t="s">
        <v>335</v>
      </c>
      <c r="M162" s="73">
        <v>0.0</v>
      </c>
      <c r="N162" s="71" t="s">
        <v>359</v>
      </c>
      <c r="O162" s="88" t="s">
        <v>360</v>
      </c>
      <c r="P162" s="72"/>
    </row>
    <row r="163">
      <c r="A163" s="68"/>
      <c r="B163" s="74">
        <v>45978.0</v>
      </c>
      <c r="C163" s="79">
        <v>623.0</v>
      </c>
      <c r="D163" s="22">
        <v>0.0</v>
      </c>
      <c r="E163" s="89">
        <v>0.0</v>
      </c>
      <c r="F163" s="69"/>
      <c r="G163" s="69"/>
      <c r="H163" s="69"/>
      <c r="I163" s="69"/>
      <c r="J163" s="69"/>
      <c r="K163" s="70">
        <v>995000.0</v>
      </c>
      <c r="L163" s="79" t="s">
        <v>335</v>
      </c>
      <c r="M163" s="73">
        <v>0.0</v>
      </c>
      <c r="N163" s="71" t="s">
        <v>361</v>
      </c>
      <c r="O163" s="88" t="s">
        <v>362</v>
      </c>
      <c r="P163" s="72"/>
    </row>
    <row r="164">
      <c r="A164" s="68"/>
      <c r="B164" s="74">
        <v>45978.0</v>
      </c>
      <c r="C164" s="79">
        <v>623.0</v>
      </c>
      <c r="D164" s="22">
        <v>0.0</v>
      </c>
      <c r="E164" s="89">
        <v>0.0</v>
      </c>
      <c r="F164" s="69"/>
      <c r="G164" s="69"/>
      <c r="H164" s="69"/>
      <c r="I164" s="69"/>
      <c r="J164" s="69"/>
      <c r="K164" s="70">
        <v>1776000.0</v>
      </c>
      <c r="L164" s="79" t="s">
        <v>335</v>
      </c>
      <c r="M164" s="73">
        <v>0.0</v>
      </c>
      <c r="N164" s="71" t="s">
        <v>26</v>
      </c>
      <c r="O164" s="88" t="s">
        <v>363</v>
      </c>
      <c r="P164" s="72"/>
    </row>
    <row r="165">
      <c r="A165" s="68"/>
      <c r="B165" s="74">
        <v>45986.0</v>
      </c>
      <c r="C165" s="79">
        <v>27.0</v>
      </c>
      <c r="D165" s="87">
        <v>220.06</v>
      </c>
      <c r="E165" s="82">
        <v>18903.5</v>
      </c>
      <c r="F165" s="69"/>
      <c r="G165" s="69"/>
      <c r="H165" s="69"/>
      <c r="I165" s="69"/>
      <c r="J165" s="69"/>
      <c r="K165" s="70">
        <v>5026420.0</v>
      </c>
      <c r="L165" s="79" t="s">
        <v>335</v>
      </c>
      <c r="M165" s="73">
        <v>0.0</v>
      </c>
      <c r="N165" s="46" t="s">
        <v>364</v>
      </c>
      <c r="O165" s="88" t="s">
        <v>365</v>
      </c>
      <c r="P165" s="72"/>
    </row>
    <row r="166">
      <c r="A166" s="68"/>
      <c r="B166" s="74">
        <v>45986.0</v>
      </c>
      <c r="C166" s="79">
        <v>624.0</v>
      </c>
      <c r="D166" s="92" t="s">
        <v>355</v>
      </c>
      <c r="E166" s="95">
        <v>18903.5</v>
      </c>
      <c r="F166" s="69"/>
      <c r="G166" s="69"/>
      <c r="H166" s="69"/>
      <c r="I166" s="69"/>
      <c r="J166" s="69"/>
      <c r="K166" s="70">
        <v>2957600.0</v>
      </c>
      <c r="L166" s="79" t="s">
        <v>335</v>
      </c>
      <c r="M166" s="73" t="s">
        <v>78</v>
      </c>
      <c r="N166" s="71">
        <v>0.0</v>
      </c>
      <c r="O166" s="88" t="s">
        <v>366</v>
      </c>
      <c r="P166" s="72"/>
    </row>
    <row r="167">
      <c r="A167" s="96">
        <v>45.0</v>
      </c>
      <c r="B167" s="97" t="s">
        <v>286</v>
      </c>
      <c r="C167" s="98">
        <v>524.0</v>
      </c>
      <c r="D167" s="69"/>
      <c r="E167" s="99">
        <v>28500.0</v>
      </c>
      <c r="F167" s="99" t="s">
        <v>120</v>
      </c>
      <c r="G167" s="69"/>
      <c r="H167" s="69"/>
      <c r="I167" s="69"/>
      <c r="J167" s="69"/>
      <c r="K167" s="100"/>
      <c r="L167" s="69"/>
      <c r="M167" s="69"/>
      <c r="N167" s="37"/>
      <c r="O167" s="101">
        <v>0.0</v>
      </c>
      <c r="P167" s="72"/>
    </row>
    <row r="168">
      <c r="A168" s="76">
        <v>46.0</v>
      </c>
      <c r="B168" s="74">
        <v>45978.0</v>
      </c>
      <c r="C168" s="79">
        <v>147.0</v>
      </c>
      <c r="D168" s="81" t="s">
        <v>367</v>
      </c>
      <c r="E168" s="82">
        <v>26000.0</v>
      </c>
      <c r="F168" s="69"/>
      <c r="G168" s="69"/>
      <c r="H168" s="69"/>
      <c r="I168" s="69"/>
      <c r="J168" s="69"/>
      <c r="K168" s="102">
        <v>200000.0</v>
      </c>
      <c r="L168" s="103" t="s">
        <v>368</v>
      </c>
      <c r="M168" s="73" t="s">
        <v>78</v>
      </c>
      <c r="N168" s="75"/>
      <c r="O168" s="88" t="s">
        <v>369</v>
      </c>
      <c r="P168" s="80">
        <v>45993.0</v>
      </c>
    </row>
    <row r="169">
      <c r="A169" s="68"/>
      <c r="B169" s="74">
        <v>45990.0</v>
      </c>
      <c r="C169" s="104">
        <v>0.0</v>
      </c>
      <c r="D169" s="22">
        <v>0.0</v>
      </c>
      <c r="E169" s="22">
        <v>0.0</v>
      </c>
      <c r="F169" s="69"/>
      <c r="G169" s="69"/>
      <c r="H169" s="69"/>
      <c r="I169" s="69"/>
      <c r="J169" s="69"/>
      <c r="K169" s="102">
        <v>1000000.0</v>
      </c>
      <c r="L169" s="103" t="s">
        <v>368</v>
      </c>
      <c r="M169" s="73" t="s">
        <v>78</v>
      </c>
      <c r="N169" s="75"/>
      <c r="O169" s="88" t="s">
        <v>370</v>
      </c>
      <c r="P169" s="72"/>
    </row>
    <row r="170">
      <c r="A170" s="68"/>
      <c r="B170" s="74">
        <v>45990.0</v>
      </c>
      <c r="C170" s="104">
        <v>0.0</v>
      </c>
      <c r="D170" s="22">
        <v>0.0</v>
      </c>
      <c r="E170" s="22">
        <v>0.0</v>
      </c>
      <c r="F170" s="69"/>
      <c r="G170" s="69"/>
      <c r="H170" s="69"/>
      <c r="I170" s="69"/>
      <c r="J170" s="69"/>
      <c r="K170" s="102">
        <v>1000000.0</v>
      </c>
      <c r="L170" s="103" t="s">
        <v>368</v>
      </c>
      <c r="M170" s="73" t="s">
        <v>78</v>
      </c>
      <c r="N170" s="75"/>
      <c r="O170" s="88" t="s">
        <v>371</v>
      </c>
      <c r="P170" s="72"/>
    </row>
    <row r="171">
      <c r="A171" s="68"/>
      <c r="B171" s="74">
        <v>45990.0</v>
      </c>
      <c r="C171" s="104">
        <v>0.0</v>
      </c>
      <c r="D171" s="22">
        <v>0.0</v>
      </c>
      <c r="E171" s="22">
        <v>0.0</v>
      </c>
      <c r="F171" s="69"/>
      <c r="G171" s="69"/>
      <c r="H171" s="69"/>
      <c r="I171" s="69"/>
      <c r="J171" s="69"/>
      <c r="K171" s="102">
        <v>1000000.0</v>
      </c>
      <c r="L171" s="103" t="s">
        <v>368</v>
      </c>
      <c r="M171" s="73" t="s">
        <v>78</v>
      </c>
      <c r="N171" s="75"/>
      <c r="O171" s="88" t="s">
        <v>372</v>
      </c>
      <c r="P171" s="72"/>
    </row>
    <row r="172">
      <c r="A172" s="68"/>
      <c r="B172" s="74">
        <v>45990.0</v>
      </c>
      <c r="C172" s="104">
        <v>0.0</v>
      </c>
      <c r="D172" s="22">
        <v>0.0</v>
      </c>
      <c r="E172" s="22">
        <v>0.0</v>
      </c>
      <c r="F172" s="69"/>
      <c r="G172" s="69"/>
      <c r="H172" s="69"/>
      <c r="I172" s="69"/>
      <c r="J172" s="69"/>
      <c r="K172" s="102">
        <v>1000000.0</v>
      </c>
      <c r="L172" s="103" t="s">
        <v>368</v>
      </c>
      <c r="M172" s="73" t="s">
        <v>78</v>
      </c>
      <c r="N172" s="75"/>
      <c r="O172" s="88" t="s">
        <v>373</v>
      </c>
      <c r="P172" s="72"/>
    </row>
    <row r="173">
      <c r="A173" s="68"/>
      <c r="B173" s="74">
        <v>45990.0</v>
      </c>
      <c r="C173" s="104">
        <v>0.0</v>
      </c>
      <c r="D173" s="22">
        <v>0.0</v>
      </c>
      <c r="E173" s="22">
        <v>0.0</v>
      </c>
      <c r="F173" s="69"/>
      <c r="G173" s="69"/>
      <c r="H173" s="69"/>
      <c r="I173" s="69"/>
      <c r="J173" s="69"/>
      <c r="K173" s="102">
        <v>1000000.0</v>
      </c>
      <c r="L173" s="103" t="s">
        <v>368</v>
      </c>
      <c r="M173" s="73" t="s">
        <v>78</v>
      </c>
      <c r="N173" s="75"/>
      <c r="O173" s="88" t="s">
        <v>374</v>
      </c>
      <c r="P173" s="72"/>
    </row>
    <row r="174">
      <c r="A174" s="68"/>
      <c r="B174" s="74">
        <v>45990.0</v>
      </c>
      <c r="C174" s="104">
        <v>0.0</v>
      </c>
      <c r="D174" s="22">
        <v>0.0</v>
      </c>
      <c r="E174" s="22">
        <v>0.0</v>
      </c>
      <c r="F174" s="69"/>
      <c r="G174" s="69"/>
      <c r="H174" s="69"/>
      <c r="I174" s="69"/>
      <c r="J174" s="69"/>
      <c r="K174" s="102">
        <v>1000000.0</v>
      </c>
      <c r="L174" s="103" t="s">
        <v>368</v>
      </c>
      <c r="M174" s="73" t="s">
        <v>78</v>
      </c>
      <c r="N174" s="75"/>
      <c r="O174" s="88" t="s">
        <v>375</v>
      </c>
      <c r="P174" s="72"/>
    </row>
    <row r="175">
      <c r="A175" s="68"/>
      <c r="B175" s="74">
        <v>45990.0</v>
      </c>
      <c r="C175" s="104">
        <v>0.0</v>
      </c>
      <c r="D175" s="22">
        <v>0.0</v>
      </c>
      <c r="E175" s="22">
        <v>0.0</v>
      </c>
      <c r="F175" s="69"/>
      <c r="G175" s="69"/>
      <c r="H175" s="69"/>
      <c r="I175" s="69"/>
      <c r="J175" s="69"/>
      <c r="K175" s="102">
        <v>1000000.0</v>
      </c>
      <c r="L175" s="103" t="s">
        <v>368</v>
      </c>
      <c r="M175" s="73" t="s">
        <v>78</v>
      </c>
      <c r="N175" s="75"/>
      <c r="O175" s="88" t="s">
        <v>376</v>
      </c>
      <c r="P175" s="72"/>
    </row>
    <row r="176">
      <c r="A176" s="68"/>
      <c r="B176" s="74">
        <v>45990.0</v>
      </c>
      <c r="C176" s="104">
        <v>0.0</v>
      </c>
      <c r="D176" s="22">
        <v>0.0</v>
      </c>
      <c r="E176" s="22">
        <v>0.0</v>
      </c>
      <c r="F176" s="69"/>
      <c r="G176" s="69"/>
      <c r="H176" s="69"/>
      <c r="I176" s="69"/>
      <c r="J176" s="69"/>
      <c r="K176" s="102">
        <v>800000.0</v>
      </c>
      <c r="L176" s="103" t="s">
        <v>368</v>
      </c>
      <c r="M176" s="73" t="s">
        <v>78</v>
      </c>
      <c r="N176" s="75"/>
      <c r="O176" s="88" t="s">
        <v>377</v>
      </c>
      <c r="P176" s="72"/>
    </row>
    <row r="177">
      <c r="A177" s="68"/>
      <c r="B177" s="74">
        <v>45993.0</v>
      </c>
      <c r="C177" s="45"/>
      <c r="D177" s="45"/>
      <c r="E177" s="45"/>
      <c r="F177" s="69"/>
      <c r="G177" s="69"/>
      <c r="H177" s="69"/>
      <c r="I177" s="69"/>
      <c r="J177" s="69"/>
      <c r="K177" s="102">
        <v>1000000.0</v>
      </c>
      <c r="L177" s="103" t="s">
        <v>378</v>
      </c>
      <c r="M177" s="73">
        <v>0.0</v>
      </c>
      <c r="N177" s="71" t="s">
        <v>379</v>
      </c>
      <c r="O177" s="85"/>
      <c r="P177" s="72"/>
    </row>
    <row r="178">
      <c r="A178" s="76">
        <v>47.0</v>
      </c>
      <c r="B178" s="74">
        <v>45973.0</v>
      </c>
      <c r="C178" s="79">
        <v>552.0</v>
      </c>
      <c r="D178" s="87">
        <v>183.36</v>
      </c>
      <c r="E178" s="78">
        <v>26000.0</v>
      </c>
      <c r="F178" s="69"/>
      <c r="G178" s="69"/>
      <c r="H178" s="69"/>
      <c r="I178" s="69"/>
      <c r="J178" s="69"/>
      <c r="K178" s="24">
        <v>189000.0</v>
      </c>
      <c r="L178" s="103" t="s">
        <v>380</v>
      </c>
      <c r="M178" s="73">
        <v>0.0</v>
      </c>
      <c r="N178" s="32" t="s">
        <v>381</v>
      </c>
      <c r="O178" s="84" t="s">
        <v>382</v>
      </c>
      <c r="P178" s="80">
        <v>45988.0</v>
      </c>
    </row>
    <row r="179">
      <c r="A179" s="68"/>
      <c r="B179" s="74">
        <v>45973.0</v>
      </c>
      <c r="C179" s="104">
        <v>0.0</v>
      </c>
      <c r="D179" s="22">
        <v>0.0</v>
      </c>
      <c r="E179" s="22">
        <v>0.0</v>
      </c>
      <c r="F179" s="69"/>
      <c r="G179" s="69"/>
      <c r="H179" s="69"/>
      <c r="I179" s="69"/>
      <c r="J179" s="69"/>
      <c r="K179" s="24">
        <v>11000.0</v>
      </c>
      <c r="L179" s="103" t="s">
        <v>380</v>
      </c>
      <c r="M179" s="75"/>
      <c r="N179" s="32" t="s">
        <v>383</v>
      </c>
      <c r="O179" s="84" t="s">
        <v>382</v>
      </c>
      <c r="P179" s="72"/>
    </row>
    <row r="180">
      <c r="A180" s="76">
        <v>48.0</v>
      </c>
      <c r="B180" s="74">
        <v>45976.0</v>
      </c>
      <c r="C180" s="79">
        <v>352.0</v>
      </c>
      <c r="D180" s="87">
        <v>183.36</v>
      </c>
      <c r="E180" s="105">
        <v>24000.0</v>
      </c>
      <c r="F180" s="69"/>
      <c r="G180" s="69"/>
      <c r="H180" s="69"/>
      <c r="I180" s="69"/>
      <c r="J180" s="69"/>
      <c r="K180" s="70">
        <v>480000.0</v>
      </c>
      <c r="L180" s="103" t="s">
        <v>384</v>
      </c>
      <c r="M180" s="75"/>
      <c r="N180" s="71" t="s">
        <v>385</v>
      </c>
      <c r="O180" s="106" t="s">
        <v>386</v>
      </c>
      <c r="P180" s="72"/>
    </row>
    <row r="181">
      <c r="A181" s="76">
        <v>49.0</v>
      </c>
      <c r="B181" s="74">
        <v>45988.0</v>
      </c>
      <c r="C181" s="79">
        <v>528.0</v>
      </c>
      <c r="D181" s="87">
        <v>350.14</v>
      </c>
      <c r="E181" s="105">
        <v>28500.0</v>
      </c>
      <c r="F181" s="69"/>
      <c r="G181" s="69"/>
      <c r="H181" s="69"/>
      <c r="I181" s="69"/>
      <c r="J181" s="69"/>
      <c r="K181" s="70">
        <v>50000.0</v>
      </c>
      <c r="L181" s="103" t="s">
        <v>387</v>
      </c>
      <c r="M181" s="73" t="s">
        <v>78</v>
      </c>
      <c r="N181" s="71">
        <v>0.0</v>
      </c>
      <c r="O181" s="107" t="s">
        <v>388</v>
      </c>
      <c r="P181" s="72"/>
    </row>
    <row r="182">
      <c r="A182" s="37"/>
      <c r="B182" s="36" t="s">
        <v>389</v>
      </c>
      <c r="C182" s="104">
        <v>0.0</v>
      </c>
      <c r="D182" s="22">
        <v>0.0</v>
      </c>
      <c r="E182" s="22">
        <v>0.0</v>
      </c>
      <c r="F182" s="23"/>
      <c r="G182" s="23"/>
      <c r="H182" s="23"/>
      <c r="I182" s="23"/>
      <c r="J182" s="23"/>
      <c r="K182" s="24">
        <v>450000.0</v>
      </c>
      <c r="L182" s="108" t="s">
        <v>387</v>
      </c>
      <c r="M182" s="52" t="s">
        <v>13</v>
      </c>
      <c r="N182" s="46">
        <v>0.0</v>
      </c>
      <c r="O182" s="109" t="s">
        <v>390</v>
      </c>
      <c r="P182" s="110"/>
    </row>
  </sheetData>
  <mergeCells count="1">
    <mergeCell ref="A1:P1"/>
  </mergeCells>
  <drawing r:id="rId1"/>
</worksheet>
</file>