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<sst xmlns="http://schemas.openxmlformats.org/spreadsheetml/2006/main" count="36" uniqueCount="36">
  <si>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PLOT DETAILS</t>
  </si>
  <si>
    <t>Plot No</t>
  </si>
  <si>
    <t>Sq Yards</t>
  </si>
  <si>
    <t>Original Price per Sq yard</t>
  </si>
  <si>
    <t>Negotiated price to the Customer per SqYard</t>
  </si>
  <si>
    <t>Advance received</t>
  </si>
  <si>
    <t>Agent Commision</t>
  </si>
  <si>
    <t>Percentage to be paid to Agent at Agreement</t>
  </si>
  <si>
    <t>Amount paid at the Agreement</t>
  </si>
  <si>
    <t>AMC Charges</t>
  </si>
  <si>
    <t>CGM</t>
  </si>
  <si>
    <t>SrGM</t>
  </si>
  <si>
    <t>GM</t>
  </si>
  <si>
    <t>Agent</t>
  </si>
  <si>
    <t>Total Amount</t>
  </si>
  <si>
    <t>W</t>
  </si>
  <si>
    <t>B</t>
  </si>
  <si>
    <t>Balance Amount</t>
  </si>
  <si>
    <t>Actual Agreement Amount to be Paid</t>
  </si>
  <si>
    <t>Agreement Balance Amt to be Paid</t>
  </si>
  <si>
    <t>Amount need to be paid to Mediator</t>
  </si>
  <si>
    <t>Actual Amount need to be deducted from Mediator</t>
  </si>
  <si>
    <t>Actual Amount need to be paid to mediator</t>
  </si>
  <si>
    <t>Total amount Needed to be paid to Mediator at the time of agreement</t>
  </si>
  <si>
    <t>Total Amount Need to be Paid to CGM for this plot</t>
  </si>
  <si>
    <t>Amount Need to be paid to CGM at the time of Agreement</t>
  </si>
  <si>
    <t>Amount need to be paid to CGM at Registration of the plot</t>
  </si>
  <si>
    <t>Total Amount Need to be Paid to SrGM for this Plot</t>
  </si>
  <si>
    <t>Amount Need to be paid to SrGM at the time of Agreement</t>
  </si>
  <si>
    <t>Amount need to be paid to SrGM at Registration of the plot</t>
  </si>
  <si>
    <t>Total Amount Need to be Paid to GM for this Plot</t>
  </si>
  <si>
    <t>Amount Need to be paid to GM at the time of Agreement</t>
  </si>
  <si>
    <t>Amount need to be paid to GM at Registration of the plot</t>
  </si>
  <si>
    <t>Total Amount Need to be Paid to Agent for this plot</t>
  </si>
  <si>
    <t>Amount Need to be paid to Agent at the time of Agreement</t>
  </si>
  <si>
    <t>Amount need to be paid to Agent at Registration of the plot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</si>
</sst>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    [&gt;9999999]##\,##\,##\,##0;[&gt;99999]##\,##\,##0;##,##0"/>
    <numFmt numFmtId="165" formatCode="[$Rs]#,##0.00"/>
    <numFmt numFmtId="166" formatCode="0.0000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/>
    </xf>
    <xf borderId="0" fillId="2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0" fontId="1" numFmtId="164" xfId="0" applyFont="1" applyNumberFormat="1"/>
    <xf borderId="0" fillId="4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39.0"/>
  </cols>
  <sheetData>
    <row r="1">
      <c r="B1" s="1"/>
      <c r="C1" s="1"/>
      <c r="D1" s="1"/>
      <c r="E1" s="1"/>
    </row>
    <row r="2">
      <c r="A2" s="2" t="s">
        <v>0</v>
      </c>
      <c r="C2" s="1"/>
      <c r="D2" s="1"/>
      <c r="E2" s="1"/>
    </row>
    <row r="3">
      <c r="B3" s="1"/>
      <c r="C3" s="1"/>
      <c r="D3" s="1"/>
      <c r="E3" s="1"/>
    </row>
    <row r="5">
      <c r="A5" s="3" t="s">
        <v>1</v>
      </c>
      <c r="B5" s="4">
        <v>527.0</v>
      </c>
    </row>
    <row r="6">
      <c r="B6" s="5"/>
    </row>
    <row r="7">
      <c r="A7" s="3" t="s">
        <v>2</v>
      </c>
      <c r="B7" s="4">
        <v>183.36</v>
      </c>
    </row>
    <row r="8">
      <c r="B8" s="5"/>
    </row>
    <row r="9">
      <c r="A9" s="3" t="s">
        <v>3</v>
      </c>
      <c r="B9" s="6">
        <v>26100.0</v>
      </c>
    </row>
    <row r="10">
      <c r="A10" s="7"/>
      <c r="B10" s="8"/>
    </row>
    <row r="11">
      <c r="A11" s="3" t="s">
        <v>4</v>
      </c>
      <c r="B11" s="6">
        <v>26100.0</v>
      </c>
    </row>
    <row r="12">
      <c r="B12" s="8"/>
    </row>
    <row r="13">
      <c r="A13" s="3" t="s">
        <v>5</v>
      </c>
      <c r="B13" s="6">
        <v>100000.0</v>
      </c>
    </row>
    <row r="14">
      <c r="B14" s="8"/>
    </row>
    <row r="15">
      <c r="A15" s="9" t="s">
        <v>6</v>
      </c>
      <c r="B15" s="8">
        <v>2300.0</v>
      </c>
    </row>
    <row r="16">
      <c r="A16" s="7"/>
      <c r="B16" s="10"/>
    </row>
    <row r="17">
      <c r="A17" s="9" t="s">
        <v>7</v>
      </c>
      <c r="B17" s="11">
        <v>0.25</v>
      </c>
    </row>
    <row r="18">
      <c r="A18" s="7"/>
      <c r="B18" s="10"/>
    </row>
    <row r="19">
      <c r="A19" s="9" t="s">
        <v>8</v>
      </c>
      <c r="B19" s="6">
        <v>900000.0</v>
      </c>
    </row>
    <row r="20">
      <c r="A20" s="7"/>
      <c r="B20" s="8"/>
    </row>
    <row r="21">
      <c r="A21" s="9" t="s">
        <v>9</v>
      </c>
      <c r="B21" s="6">
        <v>0.0</v>
      </c>
    </row>
    <row r="22">
      <c r="A22" s="7"/>
      <c r="B22" s="8"/>
    </row>
    <row r="23">
      <c r="A23" s="9" t="s">
        <v>10</v>
      </c>
      <c r="B23" s="6">
        <v>700.0</v>
      </c>
    </row>
    <row r="24">
      <c r="B24" s="8"/>
    </row>
    <row r="25">
      <c r="A25" s="9" t="s">
        <v>11</v>
      </c>
      <c r="B25" s="8">
        <v>100.0</v>
      </c>
    </row>
    <row r="26">
      <c r="B26" s="8"/>
    </row>
    <row r="27">
      <c r="A27" s="9" t="s">
        <v>12</v>
      </c>
      <c r="B27" s="6">
        <v>1500.0</v>
      </c>
    </row>
    <row r="28">
      <c r="B28" s="8"/>
    </row>
    <row r="29">
      <c r="A29" s="9" t="s">
        <v>13</v>
      </c>
      <c r="B29" s="8">
        <v>0.0</v>
      </c>
    </row>
    <row r="31">
      <c r="A31" s="12"/>
      <c r="B31" s="12"/>
    </row>
    <row r="34">
      <c r="A34" s="13" t="s">
        <v>14</v>
      </c>
      <c r="B34" s="8">
        <f>((B7*B11)+(B21*B7))</f>
        <v>4785696</v>
      </c>
    </row>
    <row r="35">
      <c r="B35" s="5"/>
    </row>
    <row r="36">
      <c r="A36" s="13" t="s">
        <v>15</v>
      </c>
      <c r="B36" s="8">
        <f>(B7*5500)</f>
        <v>1008480</v>
      </c>
    </row>
    <row r="37">
      <c r="B37" s="8"/>
    </row>
    <row r="38">
      <c r="A38" s="13" t="s">
        <v>16</v>
      </c>
      <c r="B38" s="8">
        <f>(B34-B36)</f>
        <v>3777216</v>
      </c>
    </row>
    <row r="41">
      <c r="A41" s="12"/>
      <c r="B41" s="12"/>
    </row>
    <row r="44">
      <c r="A44" s="13" t="s">
        <v>17</v>
      </c>
      <c r="B44" s="8">
        <f>(B34-B13)</f>
        <v>4685696</v>
      </c>
    </row>
    <row r="45">
      <c r="B45" s="8"/>
    </row>
    <row r="46">
      <c r="A46" s="13" t="s">
        <v>18</v>
      </c>
      <c r="B46" s="8">
        <f>(B34*B17)</f>
        <v>1196424</v>
      </c>
    </row>
    <row r="47">
      <c r="B47" s="8"/>
    </row>
    <row r="48">
      <c r="A48" s="13" t="s">
        <v>19</v>
      </c>
      <c r="B48" s="8">
        <f>(B46-B19-B13)</f>
        <v>196424</v>
      </c>
    </row>
    <row r="49">
      <c r="B49" s="5"/>
    </row>
    <row r="51">
      <c r="A51" s="12"/>
      <c r="B51" s="12"/>
    </row>
    <row r="52">
      <c r="B52" s="5"/>
    </row>
    <row r="53">
      <c r="A53" s="13" t="s">
        <v>20</v>
      </c>
      <c r="B53" s="14">
        <f>(B7*B15)</f>
        <v>421728</v>
      </c>
    </row>
    <row r="54">
      <c r="B54" s="14"/>
    </row>
    <row r="55">
      <c r="A55" s="13" t="s">
        <v>21</v>
      </c>
      <c r="B55" s="14">
        <f>((B9*B7)-B34)</f>
        <v>0</v>
      </c>
    </row>
    <row r="56">
      <c r="B56" s="14"/>
    </row>
    <row r="57">
      <c r="A57" s="13" t="s">
        <v>22</v>
      </c>
      <c r="B57" s="14">
        <f>(B53-B55)</f>
        <v>421728</v>
      </c>
    </row>
    <row r="58">
      <c r="B58" s="14"/>
    </row>
    <row r="59">
      <c r="A59" s="15" t="s">
        <v>23</v>
      </c>
      <c r="B59" s="14">
        <f>(B57*B17)</f>
        <v>105432</v>
      </c>
    </row>
    <row r="60">
      <c r="B60" s="14"/>
    </row>
    <row r="61">
      <c r="A61" s="16" t="s">
        <v>24</v>
      </c>
      <c r="B61" s="14">
        <f>(B23*B7)</f>
        <v>128352</v>
      </c>
    </row>
    <row r="62">
      <c r="B62" s="14"/>
    </row>
    <row r="63">
      <c r="A63" s="16" t="s">
        <v>25</v>
      </c>
      <c r="B63" s="14">
        <f>(B61*B17)</f>
        <v>32088</v>
      </c>
    </row>
    <row r="64">
      <c r="B64" s="14"/>
    </row>
    <row r="65">
      <c r="A65" s="16" t="s">
        <v>26</v>
      </c>
      <c r="B65" s="14">
        <f>(B61-B63)</f>
        <v>96264</v>
      </c>
    </row>
    <row r="66">
      <c r="B66" s="14"/>
    </row>
    <row r="67">
      <c r="B67" s="14"/>
    </row>
    <row r="68">
      <c r="A68" s="17" t="s">
        <v>27</v>
      </c>
      <c r="B68" s="14">
        <f>(B25*B7)</f>
        <v>18336</v>
      </c>
    </row>
    <row r="69">
      <c r="B69" s="14"/>
    </row>
    <row r="70">
      <c r="A70" s="17" t="s">
        <v>28</v>
      </c>
      <c r="B70" s="14">
        <f>(B68*B17)</f>
        <v>4584</v>
      </c>
    </row>
    <row r="71">
      <c r="B71" s="14"/>
    </row>
    <row r="72">
      <c r="A72" s="17" t="s">
        <v>29</v>
      </c>
      <c r="B72" s="14">
        <f>(B68-B70)</f>
        <v>13752</v>
      </c>
    </row>
    <row r="73">
      <c r="B73" s="14"/>
    </row>
    <row r="74">
      <c r="B74" s="14"/>
    </row>
    <row r="75">
      <c r="A75" s="18" t="s">
        <v>30</v>
      </c>
      <c r="B75" s="14">
        <f>(B27*B7)</f>
        <v>275040</v>
      </c>
    </row>
    <row r="76">
      <c r="B76" s="14"/>
    </row>
    <row r="77">
      <c r="A77" s="18" t="s">
        <v>31</v>
      </c>
      <c r="B77" s="14">
        <f>(B75*B17)</f>
        <v>68760</v>
      </c>
    </row>
    <row r="78">
      <c r="A78" s="19"/>
      <c r="B78" s="14"/>
    </row>
    <row r="79">
      <c r="A79" s="18" t="s">
        <v>32</v>
      </c>
      <c r="B79" s="14">
        <f>(B75-B77)</f>
        <v>206280</v>
      </c>
    </row>
    <row r="80">
      <c r="B80" s="14"/>
    </row>
    <row r="81">
      <c r="B81" s="14"/>
    </row>
    <row r="82">
      <c r="A82" s="20" t="s">
        <v>33</v>
      </c>
      <c r="B82" s="14">
        <f>(B29*B7)</f>
        <v>0</v>
      </c>
    </row>
    <row r="83">
      <c r="B83" s="14"/>
    </row>
    <row r="84">
      <c r="A84" s="20" t="s">
        <v>34</v>
      </c>
      <c r="B84" s="14">
        <f>(B82*B17)</f>
        <v>0</v>
      </c>
    </row>
    <row r="85">
      <c r="B85" s="14"/>
    </row>
    <row r="86">
      <c r="A86" s="20" t="s">
        <v>35</v>
      </c>
      <c r="B86" s="14">
        <f>(B82-B84)</f>
        <v>0</v>
      </c>
    </row>
    <row r="87">
      <c r="B87" s="14"/>
    </row>
    <row r="89">
      <c r="A89" s="12"/>
      <c r="B89" s="12"/>
    </row>
  </sheetData>
  <mergeCells count="1">
    <mergeCell ref="A2:B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